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e5d6bc27c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920c6c887f9540d6"/>
    <x:sheet xmlns:r="http://schemas.openxmlformats.org/officeDocument/2006/relationships" name="01_Models" sheetId="2" r:id="R356ed88034384f80"/>
    <x:sheet xmlns:r="http://schemas.openxmlformats.org/officeDocument/2006/relationships" name="02_Constants" sheetId="3" r:id="Rd8f02abf39914a9b"/>
    <x:sheet xmlns:r="http://schemas.openxmlformats.org/officeDocument/2006/relationships" name="03_12_Errors" sheetId="4" r:id="R7b73a928262c4b8c"/>
    <x:sheet xmlns:r="http://schemas.openxmlformats.org/officeDocument/2006/relationships" name="04_Consensus" sheetId="5" r:id="R9617e763e1f34ee4"/>
    <x:sheet xmlns:r="http://schemas.openxmlformats.org/officeDocument/2006/relationships" name="05_Angle_Scan" sheetId="6" r:id="Re16b4baec677416c"/>
    <x:sheet xmlns:r="http://schemas.openxmlformats.org/officeDocument/2006/relationships" name="06_Laboratory" sheetId="7" r:id="R68c7bf39304c4def"/>
    <x:sheet xmlns:r="http://schemas.openxmlformats.org/officeDocument/2006/relationships" name="07_Matrix" sheetId="8" r:id="Rc7d428e54e5a452b"/>
    <x:sheet xmlns:r="http://schemas.openxmlformats.org/officeDocument/2006/relationships" name="08_Attractors" sheetId="9" r:id="R2db4306400df4747"/>
    <x:sheet xmlns:r="http://schemas.openxmlformats.org/officeDocument/2006/relationships" name="09_Optics" sheetId="10" r:id="Rf8f1d7840aef4f6b"/>
    <x:sheet xmlns:r="http://schemas.openxmlformats.org/officeDocument/2006/relationships" name="10_Sources" sheetId="11" r:id="R0599007380c1469e"/>
    <x:sheet xmlns:r="http://schemas.openxmlformats.org/officeDocument/2006/relationships" name="11_Golden_Egg" sheetId="12" r:id="R2cc2b38d58db46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0.000000"/>
    <x:numFmt numFmtId="201" formatCode="0.0000%"/>
    <x:numFmt numFmtId="202" formatCode="0%"/>
    <x:numFmt numFmtId="203" formatCode="0.000000&quot;°&quot;"/>
    <x:numFmt numFmtId="204" formatCode="0 &quot;z 12&quot;"/>
    <x:numFmt numFmtId="205" formatCode="0"/>
    <x:numFmt numFmtId="206" formatCode="0.0"/>
    <x:numFmt numFmtId="207" formatCode="0.000000000"/>
    <x:numFmt numFmtId="208" formatCode="0.000000000000"/>
    <x:numFmt numFmtId="209" formatCode="0.000"/>
    <x:numFmt numFmtId="210" formatCode="+0.000000&quot;°&quot;;-0.000000&quot;°&quot;"/>
    <x:numFmt numFmtId="211" formatCode="0.00000"/>
    <x:numFmt numFmtId="212" formatCode="0 &quot;of 12&quot;"/>
    <x:numFmt numFmtId="213" formatCode="0.000000000°"/>
    <x:numFmt numFmtId="214" formatCode="0.0000"/>
    <x:numFmt numFmtId="215" formatCode="0.000000°"/>
    <x:numFmt numFmtId="216" formatCode="0.000E+00"/>
    <x:numFmt numFmtId="217" formatCode="@"/>
    <x:numFmt numFmtId="218" formatCode="0.000000000000000"/>
  </x:numFmts>
  <x:fonts count="26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sz val="10"/>
      <x:color rgb="FF17202A"/>
      <x:name val="Carlito"/>
    </x:font>
    <x:font>
      <x:b/>
      <x:sz val="10"/>
      <x:color rgb="FF17202A"/>
      <x:name val="Carlito"/>
    </x:font>
    <x:font>
      <x:b/>
      <x:sz val="11"/>
      <x:color rgb="FF2A7F62"/>
      <x:name val="Carlito"/>
    </x:font>
    <x:font>
      <x:b/>
      <x:sz val="18"/>
      <x:color rgb="FF17324D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sz val="10"/>
      <x:color rgb="FF17202A"/>
      <x:name val="Aptos"/>
    </x:font>
    <x:font>
      <x:b/>
      <x:sz val="10"/>
      <x:color rgb="FF17202A"/>
      <x:name val="Aptos"/>
    </x:font>
    <x:font>
      <x:b/>
      <x:sz val="11"/>
      <x:color rgb="FF17324D"/>
      <x:name val="Aptos"/>
    </x:font>
    <x:font>
      <x:b/>
      <x:sz val="11"/>
      <x:color rgb="FF2A7F62"/>
      <x:name val="Aptos"/>
    </x:font>
    <x:font>
      <x:b/>
      <x:sz val="18"/>
      <x:color rgb="FF17324D"/>
      <x:name val="Aptos"/>
    </x:font>
    <x:font>
      <x:sz val="11"/>
      <x:color rgb="FF2C5F85"/>
      <x:name val="Carlito"/>
    </x:font>
    <x:font>
      <x:b/>
      <x:sz val="10"/>
      <x:color rgb="FF17324D"/>
      <x:name val="Carlito"/>
    </x:font>
    <x:font>
      <x:sz val="10"/>
      <x:color rgb="FF2C5F85"/>
      <x:name val="Carlito"/>
    </x:font>
    <x:font>
      <x:b/>
      <x:sz val="10"/>
      <x:color rgb="FF17324D"/>
      <x:name val="Aptos"/>
    </x:font>
    <x:font>
      <x:sz val="10"/>
      <x:color rgb="FF2C5F85"/>
      <x:name val="Aptos"/>
    </x:font>
    <x:font>
      <x:b/>
      <x:sz val="9"/>
      <x:color rgb="FFFFFFFF"/>
      <x:name val="Aptos"/>
    </x:font>
    <x:font>
      <x:sz val="8"/>
      <x:color rgb="FF17202A"/>
      <x:name val="Aptos"/>
    </x:font>
    <x:font>
      <x:sz val="9"/>
      <x:color rgb="FF17202A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C5F85"/>
      </x:patternFill>
    </x:fill>
    <x:fill>
      <x:patternFill patternType="solid">
        <x:fgColor rgb="FFFFF2CC"/>
      </x:patternFill>
    </x:fill>
    <x:fill>
      <x:patternFill patternType="solid">
        <x:fgColor rgb="FFF2E8CF"/>
      </x:patternFill>
    </x:fill>
    <x:fill>
      <x:patternFill patternType="solid">
        <x:fgColor rgb="FFE8F4EF"/>
      </x:patternFill>
    </x:fill>
    <x:fill>
      <x:patternFill patternType="solid">
        <x:fgColor rgb="FFFFFFFF"/>
      </x:patternFill>
    </x:fill>
    <x:fill>
      <x:patternFill patternType="solid">
        <x:fgColor rgb="FFFAFAFA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C5F85"/>
      </x:patternFill>
    </x:fill>
    <x:fill>
      <x:patternFill patternType="solid">
        <x:fgColor rgb="FFFFF2CC"/>
      </x:patternFill>
    </x:fill>
    <x:fill>
      <x:patternFill patternType="solid">
        <x:fgColor rgb="FFF2E8CF"/>
      </x:patternFill>
    </x:fill>
    <x:fill>
      <x:patternFill patternType="solid">
        <x:fgColor rgb="FFFFFFFF"/>
      </x:patternFill>
    </x:fill>
  </x:fills>
  <x:borders count="39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99A2E"/>
      </x:left>
      <x:right style="thin">
        <x:color rgb="FFC99A2E"/>
      </x:right>
      <x:top style="thin">
        <x:color rgb="FFC99A2E"/>
      </x:top>
    </x:border>
    <x:border>
      <x:left style="thin">
        <x:color rgb="FFC99A2E"/>
      </x:left>
      <x:right style="thin">
        <x:color rgb="FFC99A2E"/>
      </x:right>
    </x:border>
    <x:border>
      <x:left style="thin">
        <x:color rgb="FFC99A2E"/>
      </x:left>
      <x:right style="thin">
        <x:color rgb="FFC99A2E"/>
      </x:right>
      <x:bottom style="thin">
        <x:color rgb="FFC99A2E"/>
      </x:bottom>
    </x:border>
    <x:border>
      <x:bottom style="thin">
        <x:color rgb="FFE2E8F0"/>
      </x:bottom>
    </x:border>
    <x:border>
      <x:left style="thin">
        <x:color rgb="FFC99A2E"/>
      </x:left>
      <x:right style="thin">
        <x:color rgb="FFC99A2E"/>
      </x:righ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C99A2E"/>
      </x:left>
      <x:right style="thin">
        <x:color rgb="FFC99A2E"/>
      </x:right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99A2E"/>
      </x:left>
      <x:right style="thin">
        <x:color rgb="FFC99A2E"/>
      </x:right>
      <x:top style="thin">
        <x:color rgb="FFE2E8F0"/>
      </x:top>
    </x:border>
    <x:border>
      <x:left style="thin">
        <x:color rgb="FFC99A2E"/>
      </x:left>
      <x:top style="thin">
        <x:color rgb="FFC99A2E"/>
      </x:top>
      <x:bottom style="thin">
        <x:color rgb="FFC99A2E"/>
      </x:bottom>
    </x:border>
    <x:border>
      <x:top style="thin">
        <x:color rgb="FFC99A2E"/>
      </x:top>
      <x:bottom style="thin">
        <x:color rgb="FFC99A2E"/>
      </x:bottom>
    </x:border>
    <x:border>
      <x:right style="thin">
        <x:color rgb="FFC99A2E"/>
      </x:right>
      <x:top style="thin">
        <x:color rgb="FFC99A2E"/>
      </x:top>
      <x:bottom style="thin">
        <x:color rgb="FFC99A2E"/>
      </x:bottom>
    </x:border>
    <x:border>
      <x:left style="medium">
        <x:color rgb="FF2A7F62"/>
      </x:left>
      <x:right style="medium">
        <x:color rgb="FF2A7F62"/>
      </x:right>
      <x:top style="medium">
        <x:color rgb="FF2A7F62"/>
      </x:top>
      <x:bottom style="medium">
        <x:color rgb="FF2A7F62"/>
      </x:bottom>
    </x:border>
    <x:border>
      <x:left style="medium">
        <x:color rgb="FFC99A2E"/>
      </x:left>
      <x:right style="medium">
        <x:color rgb="FFC99A2E"/>
      </x:right>
      <x:top style="medium">
        <x:color rgb="FFC99A2E"/>
      </x:top>
      <x:bottom style="medium">
        <x:color rgb="FFC99A2E"/>
      </x:bottom>
    </x:border>
    <x:border>
      <x:top style="thin">
        <x:color rgb="FF17324D"/>
      </x:top>
      <x:bottom style="thin">
        <x:color rgb="FF17324D"/>
      </x:bottom>
    </x:border>
    <x:border>
      <x:left style="thin">
        <x:color rgb="FFC99A2E"/>
      </x:left>
      <x:right style="thin">
        <x:color rgb="FFC99A2E"/>
      </x:right>
      <x:top style="thin">
        <x:color rgb="FFC99A2E"/>
      </x:top>
      <x:bottom style="thin">
        <x:color rgb="FFC99A2E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99A2E"/>
      </x:left>
      <x:top style="thin">
        <x:color rgb="FFC99A2E"/>
      </x:top>
    </x:border>
    <x:border>
      <x:top style="thin">
        <x:color rgb="FFC99A2E"/>
      </x:top>
    </x:border>
    <x:border>
      <x:right style="thin">
        <x:color rgb="FFC99A2E"/>
      </x:right>
      <x:top style="thin">
        <x:color rgb="FFC99A2E"/>
      </x:top>
    </x:border>
    <x:border>
      <x:left style="thin">
        <x:color rgb="FFC99A2E"/>
      </x:left>
    </x:border>
    <x:border>
      <x:right style="thin">
        <x:color rgb="FFC99A2E"/>
      </x:right>
    </x:border>
    <x:border>
      <x:left style="thin">
        <x:color rgb="FFC99A2E"/>
      </x:left>
      <x:bottom style="thin">
        <x:color rgb="FFC99A2E"/>
      </x:bottom>
    </x:border>
    <x:border>
      <x:bottom style="thin">
        <x:color rgb="FFC99A2E"/>
      </x:bottom>
    </x:border>
    <x:border>
      <x:right style="thin">
        <x:color rgb="FFC99A2E"/>
      </x:right>
      <x:bottom style="thin">
        <x:color rgb="FFC99A2E"/>
      </x:bottom>
    </x:border>
    <x:border>
      <x:left style="thin">
        <x:color rgb="FFC99A2E"/>
      </x:left>
      <x:top style="thin">
        <x:color rgb="FFE2E8F0"/>
      </x:top>
      <x:bottom style="thin">
        <x:color rgb="FFE2E8F0"/>
      </x:bottom>
    </x:border>
    <x:border>
      <x:right style="thin">
        <x:color rgb="FFC99A2E"/>
      </x:right>
      <x:top style="thin">
        <x:color rgb="FFE2E8F0"/>
      </x:top>
      <x:bottom style="thin">
        <x:color rgb="FFE2E8F0"/>
      </x:bottom>
    </x:border>
    <x:border>
      <x:left style="thin">
        <x:color rgb="FFC99A2E"/>
      </x:left>
      <x:top style="thin">
        <x:color rgb="FFE2E8F0"/>
      </x:top>
    </x:border>
    <x:border>
      <x:right style="thin">
        <x:color rgb="FFC99A2E"/>
      </x:right>
      <x:top style="thin">
        <x:color rgb="FFE2E8F0"/>
      </x:top>
    </x:border>
    <x:border>
      <x:left style="thin">
        <x:color rgb="FFC99A2E"/>
      </x:left>
      <x:top style="thin">
        <x:color rgb="FFC99A2E"/>
      </x:top>
      <x:bottom style="thin">
        <x:color rgb="FFE2E8F0"/>
      </x:bottom>
    </x:border>
    <x:border>
      <x:top style="thin">
        <x:color rgb="FFC99A2E"/>
      </x:top>
      <x:bottom style="thin">
        <x:color rgb="FFE2E8F0"/>
      </x:bottom>
    </x:border>
    <x:border>
      <x:right style="thin">
        <x:color rgb="FFC99A2E"/>
      </x:right>
      <x:top style="thin">
        <x:color rgb="FFC99A2E"/>
      </x:top>
      <x:bottom style="thin">
        <x:color rgb="FFE2E8F0"/>
      </x:bottom>
    </x:border>
    <x:border>
      <x:left style="thin">
        <x:color rgb="FFC99A2E"/>
      </x:left>
      <x:top style="thin">
        <x:color rgb="FFE2E8F0"/>
      </x:top>
      <x:bottom style="thin">
        <x:color rgb="FFC99A2E"/>
      </x:bottom>
    </x:border>
    <x:border>
      <x:top style="thin">
        <x:color rgb="FFE2E8F0"/>
      </x:top>
      <x:bottom style="thin">
        <x:color rgb="FFC99A2E"/>
      </x:bottom>
    </x:border>
    <x:border>
      <x:right style="thin">
        <x:color rgb="FFC99A2E"/>
      </x:right>
      <x:top style="thin">
        <x:color rgb="FFE2E8F0"/>
      </x:top>
      <x:bottom style="thin">
        <x:color rgb="FFC99A2E"/>
      </x:bottom>
    </x:border>
    <x:border>
      <x:bottom style="thin">
        <x:color rgb="FF17324D"/>
      </x:bottom>
    </x:border>
  </x:borders>
  <x:cellStyleXfs count="1">
    <x:xf numFmtId="0" fontId="0" fillId="0" borderId="0"/>
  </x:cellStyleXfs>
  <x:cellXfs count="5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3" xfId="0" applyNumberFormat="1" applyFont="1" applyFill="1" applyBorder="1"/>
    <x:xf numFmtId="201" fontId="4" fillId="5" borderId="4" xfId="0" applyNumberFormat="1" applyFont="1" applyFill="1" applyBorder="1"/>
    <x:xf numFmtId="200" fontId="4" fillId="5" borderId="4" xfId="0" applyNumberFormat="1" applyFont="1" applyFill="1" applyBorder="1"/>
    <x:xf numFmtId="201" fontId="4" fillId="5" borderId="5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6" fillId="5" borderId="3" xfId="0" applyNumberFormat="1" applyFont="1" applyFill="1" applyBorder="1"/>
    <x:xf numFmtId="202" fontId="6" fillId="5" borderId="3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6" fillId="5" borderId="4" xfId="0" applyNumberFormat="1" applyFont="1" applyFill="1" applyBorder="1"/>
    <x:xf numFmtId="202" fontId="6" fillId="5" borderId="4" xfId="0" applyNumberFormat="1" applyFont="1" applyFill="1" applyBorder="1"/>
    <x:xf numFmtId="200" fontId="6" fillId="5" borderId="4" xfId="0" applyNumberFormat="1" applyFont="1" applyFill="1" applyBorder="1"/>
    <x:xf numFmtId="202" fontId="6" fillId="5" borderId="5" xfId="0" applyNumberFormat="1" applyFont="1" applyFill="1" applyBorder="1"/>
    <x:xf numFmtId="202" fontId="5" fillId="3" borderId="0" xfId="0" applyNumberFormat="1" applyFont="1" applyFill="1" applyBorder="1"/>
    <x:xf numFmtId="201" fontId="6" fillId="5" borderId="5" xfId="0" applyNumberFormat="1" applyFont="1" applyFill="1" applyBorder="1"/>
    <x:xf numFmtId="0" fontId="5" fillId="0" borderId="6" xfId="0" applyNumberFormat="1" applyFont="1" applyFill="1" applyBorder="1"/>
    <x:xf numFmtId="200" fontId="6" fillId="5" borderId="7" xfId="0" applyNumberFormat="1" applyFont="1" applyFill="1" applyBorder="1"/>
    <x:xf numFmtId="202" fontId="6" fillId="5" borderId="7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8" xfId="0" applyNumberFormat="1" applyFont="1" applyFill="1" applyBorder="1"/>
    <x:xf numFmtId="201" fontId="6" fillId="5" borderId="9" xfId="0" applyNumberFormat="1" applyFont="1" applyFill="1" applyBorder="1"/>
    <x:xf numFmtId="202" fontId="6" fillId="5" borderId="9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200" fontId="6" fillId="5" borderId="9" xfId="0" applyNumberFormat="1" applyFont="1" applyFill="1" applyBorder="1"/>
    <x:xf numFmtId="202" fontId="5" fillId="3" borderId="8" xfId="0" applyNumberFormat="1" applyFont="1" applyFill="1" applyBorder="1"/>
    <x:xf numFmtId="0" fontId="5" fillId="0" borderId="10" xfId="0" applyNumberFormat="1" applyFont="1" applyFill="1" applyBorder="1"/>
    <x:xf numFmtId="201" fontId="6" fillId="5" borderId="11" xfId="0" applyNumberFormat="1" applyFont="1" applyFill="1" applyBorder="1"/>
    <x:xf numFmtId="0" fontId="5" fillId="0" borderId="6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/>
    </x:xf>
    <x:xf numFmtId="202" fontId="6" fillId="5" borderId="7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/>
    </x:xf>
    <x:xf numFmtId="201" fontId="6" fillId="5" borderId="9" xfId="0" applyNumberFormat="1" applyFont="1" applyFill="1" applyBorder="1" applyAlignment="1">
      <x:alignment vertical="center"/>
    </x:xf>
    <x:xf numFmtId="202" fontId="6" fillId="5" borderId="9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 wrapText="1"/>
    </x:xf>
    <x:xf numFmtId="200" fontId="6" fillId="5" borderId="9" xfId="0" applyNumberFormat="1" applyFont="1" applyFill="1" applyBorder="1" applyAlignment="1">
      <x:alignment vertical="center"/>
    </x:xf>
    <x:xf numFmtId="202" fontId="5" fillId="3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6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2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5" xfId="0" applyNumberFormat="1" applyFont="1" applyFill="1" applyBorder="1"/>
    <x:xf numFmtId="203" fontId="8" fillId="8" borderId="15" xfId="0" applyNumberFormat="1" applyFont="1" applyFill="1" applyBorder="1"/>
    <x:xf numFmtId="203" fontId="8" fillId="8" borderId="15" xfId="0" applyNumberFormat="1" applyFont="1" applyFill="1" applyBorder="1" applyAlignment="1">
      <x:alignment horizontal="center"/>
    </x:xf>
    <x:xf numFmtId="203" fontId="8" fillId="8" borderId="15" xfId="0" applyNumberFormat="1" applyFont="1" applyFill="1" applyBorder="1" applyAlignment="1">
      <x:alignment horizontal="center" vertical="center"/>
    </x:xf>
    <x:xf numFmtId="204" fontId="8" fillId="8" borderId="15" xfId="0" applyNumberFormat="1" applyFont="1" applyFill="1" applyBorder="1"/>
    <x:xf numFmtId="204" fontId="8" fillId="8" borderId="15" xfId="0" applyNumberFormat="1" applyFont="1" applyFill="1" applyBorder="1" applyAlignment="1">
      <x:alignment horizontal="center"/>
    </x:xf>
    <x:xf numFmtId="204" fontId="8" fillId="8" borderId="15" xfId="0" applyNumberFormat="1" applyFont="1" applyFill="1" applyBorder="1" applyAlignment="1">
      <x:alignment horizontal="center" vertical="center"/>
    </x:xf>
    <x:xf numFmtId="0" fontId="4" fillId="6" borderId="16" xfId="0" applyNumberFormat="1" applyFont="1" applyFill="1" applyBorder="1"/>
    <x:xf numFmtId="0" fontId="4" fillId="6" borderId="16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3" fontId="5" fillId="0" borderId="6" xfId="0" applyNumberFormat="1" applyFont="1" applyFill="1" applyBorder="1"/>
    <x:xf numFmtId="201" fontId="5" fillId="0" borderId="6" xfId="0" applyNumberFormat="1" applyFont="1" applyFill="1" applyBorder="1"/>
    <x:xf numFmtId="205" fontId="5" fillId="0" borderId="6" xfId="0" applyNumberFormat="1" applyFont="1" applyFill="1" applyBorder="1"/>
    <x:xf numFmtId="206" fontId="5" fillId="0" borderId="6" xfId="0" applyNumberFormat="1" applyFont="1" applyFill="1" applyBorder="1"/>
    <x:xf numFmtId="203" fontId="5" fillId="0" borderId="8" xfId="0" applyNumberFormat="1" applyFont="1" applyFill="1" applyBorder="1"/>
    <x:xf numFmtId="201" fontId="5" fillId="0" borderId="8" xfId="0" applyNumberFormat="1" applyFont="1" applyFill="1" applyBorder="1"/>
    <x:xf numFmtId="205" fontId="5" fillId="0" borderId="8" xfId="0" applyNumberFormat="1" applyFont="1" applyFill="1" applyBorder="1"/>
    <x:xf numFmtId="206" fontId="5" fillId="0" borderId="8" xfId="0" applyNumberFormat="1" applyFont="1" applyFill="1" applyBorder="1"/>
    <x:xf numFmtId="203" fontId="5" fillId="0" borderId="10" xfId="0" applyNumberFormat="1" applyFont="1" applyFill="1" applyBorder="1"/>
    <x:xf numFmtId="201" fontId="5" fillId="0" borderId="10" xfId="0" applyNumberFormat="1" applyFont="1" applyFill="1" applyBorder="1"/>
    <x:xf numFmtId="205" fontId="5" fillId="0" borderId="10" xfId="0" applyNumberFormat="1" applyFont="1" applyFill="1" applyBorder="1"/>
    <x:xf numFmtId="206" fontId="5" fillId="0" borderId="10" xfId="0" applyNumberFormat="1" applyFont="1" applyFill="1" applyBorder="1"/>
    <x:xf numFmtId="203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5" fontId="5" fillId="0" borderId="6" xfId="0" applyNumberFormat="1" applyFont="1" applyFill="1" applyBorder="1" applyAlignment="1">
      <x:alignment vertical="center"/>
    </x:xf>
    <x:xf numFmtId="206" fontId="5" fillId="0" borderId="6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5" fontId="5" fillId="0" borderId="8" xfId="0" applyNumberFormat="1" applyFont="1" applyFill="1" applyBorder="1" applyAlignment="1">
      <x:alignment vertical="center"/>
    </x:xf>
    <x:xf numFmtId="206" fontId="5" fillId="0" borderId="8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5" fontId="5" fillId="0" borderId="10" xfId="0" applyNumberFormat="1" applyFont="1" applyFill="1" applyBorder="1" applyAlignment="1">
      <x:alignment vertical="center"/>
    </x:xf>
    <x:xf numFmtId="206" fontId="5" fillId="0" borderId="1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3" fillId="0" borderId="6" xfId="0" applyNumberFormat="1" applyFont="1" applyFill="1" applyBorder="1" applyAlignment="1">
      <x:alignment vertical="center"/>
    </x:xf>
    <x:xf numFmtId="200" fontId="14" fillId="5" borderId="7" xfId="0" applyNumberFormat="1" applyFont="1" applyFill="1" applyBorder="1" applyAlignment="1">
      <x:alignment vertical="center"/>
    </x:xf>
    <x:xf numFmtId="202" fontId="14" fillId="5" borderId="7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/>
    </x:xf>
    <x:xf numFmtId="201" fontId="14" fillId="5" borderId="9" xfId="0" applyNumberFormat="1" applyFont="1" applyFill="1" applyBorder="1" applyAlignment="1">
      <x:alignment vertical="center"/>
    </x:xf>
    <x:xf numFmtId="202" fontId="14" fillId="5" borderId="9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 wrapText="1"/>
    </x:xf>
    <x:xf numFmtId="200" fontId="14" fillId="5" borderId="9" xfId="0" applyNumberFormat="1" applyFont="1" applyFill="1" applyBorder="1" applyAlignment="1">
      <x:alignment vertical="center"/>
    </x:xf>
    <x:xf numFmtId="202" fontId="13" fillId="3" borderId="8" xfId="0" applyNumberFormat="1" applyFont="1" applyFill="1" applyBorder="1" applyAlignment="1">
      <x:alignment vertical="center"/>
    </x:xf>
    <x:xf numFmtId="0" fontId="13" fillId="0" borderId="10" xfId="0" applyNumberFormat="1" applyFont="1" applyFill="1" applyBorder="1" applyAlignment="1">
      <x:alignment vertical="center"/>
    </x:xf>
    <x:xf numFmtId="201" fontId="14" fillId="5" borderId="11" xfId="0" applyNumberFormat="1" applyFont="1" applyFill="1" applyBorder="1" applyAlignment="1">
      <x:alignment vertical="center"/>
    </x:xf>
    <x:xf numFmtId="0" fontId="15" fillId="6" borderId="12" xfId="0" applyNumberFormat="1" applyFont="1" applyFill="1" applyBorder="1" applyAlignment="1">
      <x:alignment vertical="center"/>
    </x:xf>
    <x:xf numFmtId="0" fontId="15" fillId="6" borderId="13" xfId="0" applyNumberFormat="1" applyFont="1" applyFill="1" applyBorder="1" applyAlignment="1">
      <x:alignment vertical="center"/>
    </x:xf>
    <x:xf numFmtId="0" fontId="15" fillId="6" borderId="14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horizontal="center"/>
    </x:xf>
    <x:xf numFmtId="203" fontId="17" fillId="8" borderId="15" xfId="0" applyNumberFormat="1" applyFont="1" applyFill="1" applyBorder="1" applyAlignment="1">
      <x:alignment horizontal="center" vertical="center"/>
    </x:xf>
    <x:xf numFmtId="204" fontId="17" fillId="8" borderId="15" xfId="0" applyNumberFormat="1" applyFont="1" applyFill="1" applyBorder="1" applyAlignment="1">
      <x:alignment horizontal="center" vertical="center"/>
    </x:xf>
    <x:xf numFmtId="0" fontId="15" fillId="6" borderId="16" xfId="0" applyNumberFormat="1" applyFont="1" applyFill="1" applyBorder="1" applyAlignment="1">
      <x:alignment vertical="center" wrapText="1"/>
    </x:xf>
    <x:xf numFmtId="0" fontId="12" fillId="4" borderId="17" xfId="0" applyNumberFormat="1" applyFont="1" applyFill="1" applyBorder="1" applyAlignment="1">
      <x:alignment horizontal="center" vertical="center" wrapText="1"/>
    </x:xf>
    <x:xf numFmtId="203" fontId="13" fillId="0" borderId="6" xfId="0" applyNumberFormat="1" applyFont="1" applyFill="1" applyBorder="1" applyAlignment="1">
      <x:alignment vertical="center"/>
    </x:xf>
    <x:xf numFmtId="201" fontId="13" fillId="0" borderId="6" xfId="0" applyNumberFormat="1" applyFont="1" applyFill="1" applyBorder="1" applyAlignment="1">
      <x:alignment vertical="center"/>
    </x:xf>
    <x:xf numFmtId="205" fontId="13" fillId="0" borderId="6" xfId="0" applyNumberFormat="1" applyFont="1" applyFill="1" applyBorder="1" applyAlignment="1">
      <x:alignment vertical="center"/>
    </x:xf>
    <x:xf numFmtId="206" fontId="13" fillId="0" borderId="6" xfId="0" applyNumberFormat="1" applyFont="1" applyFill="1" applyBorder="1" applyAlignment="1">
      <x:alignment vertical="center"/>
    </x:xf>
    <x:xf numFmtId="203" fontId="13" fillId="0" borderId="8" xfId="0" applyNumberFormat="1" applyFont="1" applyFill="1" applyBorder="1" applyAlignment="1">
      <x:alignment vertical="center"/>
    </x:xf>
    <x:xf numFmtId="201" fontId="13" fillId="0" borderId="8" xfId="0" applyNumberFormat="1" applyFont="1" applyFill="1" applyBorder="1" applyAlignment="1">
      <x:alignment vertical="center"/>
    </x:xf>
    <x:xf numFmtId="205" fontId="13" fillId="0" borderId="8" xfId="0" applyNumberFormat="1" applyFont="1" applyFill="1" applyBorder="1" applyAlignment="1">
      <x:alignment vertical="center"/>
    </x:xf>
    <x:xf numFmtId="206" fontId="13" fillId="0" borderId="8" xfId="0" applyNumberFormat="1" applyFont="1" applyFill="1" applyBorder="1" applyAlignment="1">
      <x:alignment vertical="center"/>
    </x:xf>
    <x:xf numFmtId="203" fontId="13" fillId="0" borderId="10" xfId="0" applyNumberFormat="1" applyFont="1" applyFill="1" applyBorder="1" applyAlignment="1">
      <x:alignment vertical="center"/>
    </x:xf>
    <x:xf numFmtId="201" fontId="13" fillId="0" borderId="10" xfId="0" applyNumberFormat="1" applyFont="1" applyFill="1" applyBorder="1" applyAlignment="1">
      <x:alignment vertical="center"/>
    </x:xf>
    <x:xf numFmtId="205" fontId="13" fillId="0" borderId="10" xfId="0" applyNumberFormat="1" applyFont="1" applyFill="1" applyBorder="1" applyAlignment="1">
      <x:alignment vertical="center"/>
    </x:xf>
    <x:xf numFmtId="206" fontId="13" fillId="0" borderId="10" xfId="0" applyNumberFormat="1" applyFont="1" applyFill="1" applyBorder="1" applyAlignment="1">
      <x:alignment vertical="center"/>
    </x:xf>
    <x:xf numFmtId="0" fontId="4" fillId="5" borderId="18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4" fillId="3" borderId="18" xfId="0" applyNumberFormat="1" applyFont="1" applyFill="1" applyBorder="1"/>
    <x:xf numFmtId="207" fontId="0" fillId="3" borderId="0" xfId="0" applyNumberFormat="1" applyFont="1" applyFill="1" applyBorder="1"/>
    <x:xf numFmtId="207" fontId="4" fillId="5" borderId="3" xfId="0" applyNumberFormat="1" applyFont="1" applyFill="1" applyBorder="1"/>
    <x:xf numFmtId="207" fontId="4" fillId="5" borderId="5" xfId="0" applyNumberFormat="1" applyFont="1" applyFill="1" applyBorder="1"/>
    <x:xf numFmtId="207" fontId="4" fillId="5" borderId="18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3" fontId="4" fillId="5" borderId="3" xfId="0" applyNumberFormat="1" applyFont="1" applyFill="1" applyBorder="1"/>
    <x:xf numFmtId="203" fontId="4" fillId="5" borderId="5" xfId="0" applyNumberFormat="1" applyFont="1" applyFill="1" applyBorder="1"/>
    <x:xf numFmtId="207" fontId="5" fillId="3" borderId="0" xfId="0" applyNumberFormat="1" applyFont="1" applyFill="1" applyBorder="1"/>
    <x:xf numFmtId="203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3" fontId="6" fillId="5" borderId="3" xfId="0" applyNumberFormat="1" applyFont="1" applyFill="1" applyBorder="1"/>
    <x:xf numFmtId="203" fontId="6" fillId="5" borderId="5" xfId="0" applyNumberFormat="1" applyFont="1" applyFill="1" applyBorder="1"/>
    <x:xf numFmtId="207" fontId="6" fillId="5" borderId="18" xfId="0" applyNumberFormat="1" applyFont="1" applyFill="1" applyBorder="1"/>
    <x:xf numFmtId="207" fontId="5" fillId="3" borderId="6" xfId="0" applyNumberFormat="1" applyFont="1" applyFill="1" applyBorder="1"/>
    <x:xf numFmtId="203" fontId="5" fillId="3" borderId="6" xfId="0" applyNumberFormat="1" applyFont="1" applyFill="1" applyBorder="1"/>
    <x:xf numFmtId="200" fontId="5" fillId="3" borderId="6" xfId="0" applyNumberFormat="1" applyFont="1" applyFill="1" applyBorder="1"/>
    <x:xf numFmtId="0" fontId="5" fillId="3" borderId="6" xfId="0" applyNumberFormat="1" applyFont="1" applyFill="1" applyBorder="1"/>
    <x:xf numFmtId="201" fontId="5" fillId="3" borderId="6" xfId="0" applyNumberFormat="1" applyFont="1" applyFill="1" applyBorder="1"/>
    <x:xf numFmtId="207" fontId="5" fillId="3" borderId="8" xfId="0" applyNumberFormat="1" applyFont="1" applyFill="1" applyBorder="1"/>
    <x:xf numFmtId="203" fontId="5" fillId="3" borderId="8" xfId="0" applyNumberFormat="1" applyFont="1" applyFill="1" applyBorder="1"/>
    <x:xf numFmtId="200" fontId="5" fillId="3" borderId="8" xfId="0" applyNumberFormat="1" applyFont="1" applyFill="1" applyBorder="1"/>
    <x:xf numFmtId="0" fontId="5" fillId="3" borderId="8" xfId="0" applyNumberFormat="1" applyFont="1" applyFill="1" applyBorder="1"/>
    <x:xf numFmtId="201" fontId="5" fillId="3" borderId="8" xfId="0" applyNumberFormat="1" applyFont="1" applyFill="1" applyBorder="1"/>
    <x:xf numFmtId="203" fontId="6" fillId="5" borderId="9" xfId="0" applyNumberFormat="1" applyFont="1" applyFill="1" applyBorder="1"/>
    <x:xf numFmtId="207" fontId="6" fillId="5" borderId="11" xfId="0" applyNumberFormat="1" applyFont="1" applyFill="1" applyBorder="1"/>
    <x:xf numFmtId="203" fontId="5" fillId="3" borderId="10" xfId="0" applyNumberFormat="1" applyFont="1" applyFill="1" applyBorder="1"/>
    <x:xf numFmtId="200" fontId="5" fillId="3" borderId="10" xfId="0" applyNumberFormat="1" applyFont="1" applyFill="1" applyBorder="1"/>
    <x:xf numFmtId="207" fontId="5" fillId="3" borderId="10" xfId="0" applyNumberFormat="1" applyFont="1" applyFill="1" applyBorder="1"/>
    <x:xf numFmtId="0" fontId="5" fillId="3" borderId="10" xfId="0" applyNumberFormat="1" applyFont="1" applyFill="1" applyBorder="1"/>
    <x:xf numFmtId="201" fontId="5" fillId="3" borderId="10" xfId="0" applyNumberFormat="1" applyFont="1" applyFill="1" applyBorder="1"/>
    <x:xf numFmtId="207" fontId="5" fillId="3" borderId="6" xfId="0" applyNumberFormat="1" applyFont="1" applyFill="1" applyBorder="1" applyAlignment="1">
      <x:alignment vertical="center"/>
    </x:xf>
    <x:xf numFmtId="203" fontId="5" fillId="3" borderId="6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7" fontId="5" fillId="3" borderId="8" xfId="0" applyNumberFormat="1" applyFont="1" applyFill="1" applyBorder="1" applyAlignment="1">
      <x:alignment vertical="center"/>
    </x:xf>
    <x:xf numFmtId="203" fontId="5" fillId="3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vertical="center"/>
    </x:xf>
    <x:xf numFmtId="203" fontId="6" fillId="5" borderId="9" xfId="0" applyNumberFormat="1" applyFont="1" applyFill="1" applyBorder="1" applyAlignment="1">
      <x:alignment vertical="center"/>
    </x:xf>
    <x:xf numFmtId="207" fontId="6" fillId="5" borderId="11" xfId="0" applyNumberFormat="1" applyFont="1" applyFill="1" applyBorder="1" applyAlignment="1">
      <x:alignment vertical="center"/>
    </x:xf>
    <x:xf numFmtId="203" fontId="5" fillId="3" borderId="10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vertical="center"/>
    </x:xf>
    <x:xf numFmtId="207" fontId="5" fillId="3" borderId="1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201" fontId="5" fillId="3" borderId="10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/>
    </x:xf>
    <x:xf numFmtId="207" fontId="5" fillId="7" borderId="8" xfId="0" applyNumberFormat="1" applyFont="1" applyFill="1" applyBorder="1" applyAlignment="1">
      <x:alignment vertical="center"/>
    </x:xf>
    <x:xf numFmtId="203" fontId="5" fillId="7" borderId="8" xfId="0" applyNumberFormat="1" applyFont="1" applyFill="1" applyBorder="1" applyAlignment="1">
      <x:alignment vertical="center"/>
    </x:xf>
    <x:xf numFmtId="200" fontId="5" fillId="7" borderId="8" xfId="0" applyNumberFormat="1" applyFont="1" applyFill="1" applyBorder="1" applyAlignment="1">
      <x:alignment vertical="center"/>
    </x:xf>
    <x:xf numFmtId="201" fontId="5" fillId="7" borderId="8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18" fillId="0" borderId="0" xfId="0" applyNumberFormat="1" applyFont="1" applyFill="1" applyBorder="1"/>
    <x:xf numFmtId="208" fontId="5" fillId="0" borderId="0" xfId="0" applyNumberFormat="1" applyFont="1" applyFill="1" applyBorder="1"/>
    <x:xf numFmtId="209" fontId="5" fillId="0" borderId="0" xfId="0" applyNumberFormat="1" applyFont="1" applyFill="1" applyBorder="1"/>
    <x:xf numFmtId="208" fontId="5" fillId="0" borderId="6" xfId="0" applyNumberFormat="1" applyFont="1" applyFill="1" applyBorder="1"/>
    <x:xf numFmtId="209" fontId="5" fillId="0" borderId="6" xfId="0" applyNumberFormat="1" applyFont="1" applyFill="1" applyBorder="1"/>
    <x:xf numFmtId="208" fontId="5" fillId="0" borderId="8" xfId="0" applyNumberFormat="1" applyFont="1" applyFill="1" applyBorder="1"/>
    <x:xf numFmtId="209" fontId="5" fillId="0" borderId="8" xfId="0" applyNumberFormat="1" applyFont="1" applyFill="1" applyBorder="1"/>
    <x:xf numFmtId="208" fontId="5" fillId="0" borderId="10" xfId="0" applyNumberFormat="1" applyFont="1" applyFill="1" applyBorder="1"/>
    <x:xf numFmtId="209" fontId="5" fillId="0" borderId="10" xfId="0" applyNumberFormat="1" applyFont="1" applyFill="1" applyBorder="1"/>
    <x:xf numFmtId="208" fontId="5" fillId="0" borderId="6" xfId="0" applyNumberFormat="1" applyFont="1" applyFill="1" applyBorder="1" applyAlignment="1">
      <x:alignment vertical="center"/>
    </x:xf>
    <x:xf numFmtId="209" fontId="5" fillId="0" borderId="6" xfId="0" applyNumberFormat="1" applyFont="1" applyFill="1" applyBorder="1" applyAlignment="1">
      <x:alignment vertical="center"/>
    </x:xf>
    <x:xf numFmtId="208" fontId="5" fillId="0" borderId="8" xfId="0" applyNumberFormat="1" applyFont="1" applyFill="1" applyBorder="1" applyAlignment="1">
      <x:alignment vertical="center"/>
    </x:xf>
    <x:xf numFmtId="209" fontId="5" fillId="0" borderId="8" xfId="0" applyNumberFormat="1" applyFont="1" applyFill="1" applyBorder="1" applyAlignment="1">
      <x:alignment vertical="center"/>
    </x:xf>
    <x:xf numFmtId="208" fontId="5" fillId="0" borderId="10" xfId="0" applyNumberFormat="1" applyFont="1" applyFill="1" applyBorder="1" applyAlignment="1">
      <x:alignment vertical="center"/>
    </x:xf>
    <x:xf numFmtId="209" fontId="5" fillId="0" borderId="10" xfId="0" applyNumberFormat="1" applyFont="1" applyFill="1" applyBorder="1" applyAlignment="1">
      <x:alignment vertical="center"/>
    </x:xf>
    <x:xf numFmtId="208" fontId="5" fillId="3" borderId="6" xfId="0" applyNumberFormat="1" applyFont="1" applyFill="1" applyBorder="1" applyAlignment="1">
      <x:alignment vertical="center"/>
    </x:xf>
    <x:xf numFmtId="209" fontId="5" fillId="3" borderId="6" xfId="0" applyNumberFormat="1" applyFont="1" applyFill="1" applyBorder="1" applyAlignment="1">
      <x:alignment vertical="center"/>
    </x:xf>
    <x:xf numFmtId="208" fontId="5" fillId="3" borderId="8" xfId="0" applyNumberFormat="1" applyFont="1" applyFill="1" applyBorder="1" applyAlignment="1">
      <x:alignment vertical="center"/>
    </x:xf>
    <x:xf numFmtId="209" fontId="5" fillId="3" borderId="8" xfId="0" applyNumberFormat="1" applyFont="1" applyFill="1" applyBorder="1" applyAlignment="1">
      <x:alignment vertical="center"/>
    </x:xf>
    <x:xf numFmtId="0" fontId="5" fillId="9" borderId="8" xfId="0" applyNumberFormat="1" applyFont="1" applyFill="1" applyBorder="1" applyAlignment="1">
      <x:alignment vertical="center"/>
    </x:xf>
    <x:xf numFmtId="208" fontId="5" fillId="9" borderId="8" xfId="0" applyNumberFormat="1" applyFont="1" applyFill="1" applyBorder="1" applyAlignment="1">
      <x:alignment vertical="center"/>
    </x:xf>
    <x:xf numFmtId="209" fontId="5" fillId="9" borderId="8" xfId="0" applyNumberFormat="1" applyFont="1" applyFill="1" applyBorder="1" applyAlignment="1">
      <x:alignment vertical="center"/>
    </x:xf>
    <x:xf numFmtId="0" fontId="5" fillId="9" borderId="10" xfId="0" applyNumberFormat="1" applyFont="1" applyFill="1" applyBorder="1" applyAlignment="1">
      <x:alignment vertical="center"/>
    </x:xf>
    <x:xf numFmtId="208" fontId="5" fillId="9" borderId="10" xfId="0" applyNumberFormat="1" applyFont="1" applyFill="1" applyBorder="1" applyAlignment="1">
      <x:alignment vertical="center"/>
    </x:xf>
    <x:xf numFmtId="209" fontId="5" fillId="9" borderId="10" xfId="0" applyNumberFormat="1" applyFont="1" applyFill="1" applyBorder="1" applyAlignment="1">
      <x:alignment vertical="center"/>
    </x:xf>
    <x:xf numFmtId="209" fontId="4" fillId="5" borderId="0" xfId="0" applyNumberFormat="1" applyFont="1" applyFill="1" applyBorder="1"/>
    <x:xf numFmtId="209" fontId="4" fillId="5" borderId="0" xfId="0" applyNumberFormat="1" applyFont="1" applyFill="1" applyBorder="1" applyAlignment="1">
      <x:alignment horizontal="center"/>
    </x:xf>
    <x:xf numFmtId="207" fontId="0" fillId="0" borderId="0" xfId="0" applyNumberFormat="1" applyFont="1" applyFill="1" applyBorder="1"/>
    <x:xf numFmtId="207" fontId="5" fillId="0" borderId="0" xfId="0" applyNumberFormat="1" applyFont="1" applyFill="1" applyBorder="1"/>
    <x:xf numFmtId="207" fontId="5" fillId="0" borderId="6" xfId="0" applyNumberFormat="1" applyFont="1" applyFill="1" applyBorder="1"/>
    <x:xf numFmtId="207" fontId="5" fillId="0" borderId="8" xfId="0" applyNumberFormat="1" applyFont="1" applyFill="1" applyBorder="1"/>
    <x:xf numFmtId="207" fontId="5" fillId="0" borderId="10" xfId="0" applyNumberFormat="1" applyFont="1" applyFill="1" applyBorder="1"/>
    <x:xf numFmtId="207" fontId="5" fillId="0" borderId="6" xfId="0" applyNumberFormat="1" applyFont="1" applyFill="1" applyBorder="1" applyAlignment="1">
      <x:alignment vertical="center"/>
    </x:xf>
    <x:xf numFmtId="207" fontId="5" fillId="0" borderId="8" xfId="0" applyNumberFormat="1" applyFont="1" applyFill="1" applyBorder="1" applyAlignment="1">
      <x:alignment vertical="center"/>
    </x:xf>
    <x:xf numFmtId="207" fontId="5" fillId="0" borderId="10" xfId="0" applyNumberFormat="1" applyFont="1" applyFill="1" applyBorder="1" applyAlignment="1">
      <x:alignment vertical="center"/>
    </x:xf>
    <x:xf numFmtId="205" fontId="5" fillId="3" borderId="6" xfId="0" applyNumberFormat="1" applyFont="1" applyFill="1" applyBorder="1" applyAlignment="1">
      <x:alignment vertical="center"/>
    </x:xf>
    <x:xf numFmtId="205" fontId="5" fillId="3" borderId="8" xfId="0" applyNumberFormat="1" applyFont="1" applyFill="1" applyBorder="1" applyAlignment="1">
      <x:alignment vertical="center"/>
    </x:xf>
    <x:xf numFmtId="205" fontId="5" fillId="3" borderId="10" xfId="0" applyNumberFormat="1" applyFont="1" applyFill="1" applyBorder="1" applyAlignment="1">
      <x:alignment vertical="center"/>
    </x:xf>
    <x:xf numFmtId="205" fontId="5" fillId="7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6" xfId="0" applyNumberFormat="1" applyFont="1" applyFill="1" applyBorder="1"/>
    <x:xf numFmtId="200" fontId="5" fillId="0" borderId="8" xfId="0" applyNumberFormat="1" applyFont="1" applyFill="1" applyBorder="1"/>
    <x:xf numFmtId="200" fontId="5" fillId="0" borderId="10" xfId="0" applyNumberFormat="1" applyFont="1" applyFill="1" applyBorder="1"/>
    <x:xf numFmtId="200" fontId="5" fillId="0" borderId="6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6" fontId="5" fillId="3" borderId="6" xfId="0" applyNumberFormat="1" applyFont="1" applyFill="1" applyBorder="1" applyAlignment="1">
      <x:alignment vertical="center"/>
    </x:xf>
    <x:xf numFmtId="206" fontId="5" fillId="3" borderId="8" xfId="0" applyNumberFormat="1" applyFont="1" applyFill="1" applyBorder="1" applyAlignment="1">
      <x:alignment vertical="center"/>
    </x:xf>
    <x:xf numFmtId="206" fontId="5" fillId="3" borderId="10" xfId="0" applyNumberFormat="1" applyFont="1" applyFill="1" applyBorder="1" applyAlignment="1">
      <x:alignment vertical="center"/>
    </x:xf>
    <x:xf numFmtId="206" fontId="5" fillId="7" borderId="8" xfId="0" applyNumberFormat="1" applyFont="1" applyFill="1" applyBorder="1" applyAlignment="1">
      <x:alignment vertical="center"/>
    </x:xf>
    <x:xf numFmtId="0" fontId="3" fillId="4" borderId="19" xfId="0" applyNumberFormat="1" applyFont="1" applyFill="1" applyBorder="1"/>
    <x:xf numFmtId="0" fontId="3" fillId="4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6" fillId="5" borderId="23" xfId="0" applyNumberFormat="1" applyFont="1" applyFill="1" applyBorder="1"/>
    <x:xf numFmtId="0" fontId="6" fillId="5" borderId="0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6" fillId="5" borderId="8" xfId="0" applyNumberFormat="1" applyFont="1" applyFill="1" applyBorder="1"/>
    <x:xf numFmtId="0" fontId="6" fillId="5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10" xfId="0" applyNumberFormat="1" applyFont="1" applyFill="1" applyBorder="1"/>
    <x:xf numFmtId="0" fontId="6" fillId="5" borderId="31" xfId="0" applyNumberFormat="1" applyFont="1" applyFill="1" applyBorder="1"/>
    <x:xf numFmtId="0" fontId="6" fillId="5" borderId="28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29" xfId="0" applyNumberFormat="1" applyFont="1" applyFill="1" applyBorder="1" applyAlignment="1">
      <x:alignment vertical="center"/>
    </x:xf>
    <x:xf numFmtId="0" fontId="6" fillId="5" borderId="30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31" xfId="0" applyNumberFormat="1" applyFont="1" applyFill="1" applyBorder="1" applyAlignment="1">
      <x:alignment vertical="center"/>
    </x:xf>
    <x:xf numFmtId="0" fontId="19" fillId="5" borderId="28" xfId="0" applyNumberFormat="1" applyFont="1" applyFill="1" applyBorder="1" applyAlignment="1">
      <x:alignment vertical="center"/>
    </x:xf>
    <x:xf numFmtId="0" fontId="19" fillId="5" borderId="8" xfId="0" applyNumberFormat="1" applyFont="1" applyFill="1" applyBorder="1" applyAlignment="1">
      <x:alignment vertical="center"/>
    </x:xf>
    <x:xf numFmtId="0" fontId="19" fillId="5" borderId="29" xfId="0" applyNumberFormat="1" applyFont="1" applyFill="1" applyBorder="1" applyAlignment="1">
      <x:alignment vertical="center"/>
    </x:xf>
    <x:xf numFmtId="0" fontId="19" fillId="5" borderId="30" xfId="0" applyNumberFormat="1" applyFont="1" applyFill="1" applyBorder="1" applyAlignment="1">
      <x:alignment vertical="center"/>
    </x:xf>
    <x:xf numFmtId="0" fontId="19" fillId="5" borderId="10" xfId="0" applyNumberFormat="1" applyFont="1" applyFill="1" applyBorder="1" applyAlignment="1">
      <x:alignment vertical="center"/>
    </x:xf>
    <x:xf numFmtId="0" fontId="19" fillId="5" borderId="31" xfId="0" applyNumberFormat="1" applyFont="1" applyFill="1" applyBorder="1" applyAlignment="1">
      <x:alignment vertical="center"/>
    </x:xf>
    <x:xf numFmtId="0" fontId="19" fillId="5" borderId="32" xfId="0" applyNumberFormat="1" applyFont="1" applyFill="1" applyBorder="1" applyAlignment="1">
      <x:alignment vertical="center"/>
    </x:xf>
    <x:xf numFmtId="0" fontId="19" fillId="5" borderId="33" xfId="0" applyNumberFormat="1" applyFont="1" applyFill="1" applyBorder="1" applyAlignment="1">
      <x:alignment vertical="center"/>
    </x:xf>
    <x:xf numFmtId="0" fontId="19" fillId="5" borderId="34" xfId="0" applyNumberFormat="1" applyFont="1" applyFill="1" applyBorder="1" applyAlignment="1">
      <x:alignment vertical="center"/>
    </x:xf>
    <x:xf numFmtId="0" fontId="19" fillId="5" borderId="35" xfId="0" applyNumberFormat="1" applyFont="1" applyFill="1" applyBorder="1" applyAlignment="1">
      <x:alignment vertical="center"/>
    </x:xf>
    <x:xf numFmtId="0" fontId="19" fillId="5" borderId="36" xfId="0" applyNumberFormat="1" applyFont="1" applyFill="1" applyBorder="1" applyAlignment="1">
      <x:alignment vertical="center"/>
    </x:xf>
    <x:xf numFmtId="0" fontId="19" fillId="5" borderId="37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6" xfId="0" applyNumberFormat="1" applyFont="1" applyFill="1" applyBorder="1"/>
    <x:xf numFmtId="210" fontId="5" fillId="0" borderId="8" xfId="0" applyNumberFormat="1" applyFont="1" applyFill="1" applyBorder="1"/>
    <x:xf numFmtId="210" fontId="5" fillId="0" borderId="10" xfId="0" applyNumberFormat="1" applyFont="1" applyFill="1" applyBorder="1"/>
    <x:xf numFmtId="210" fontId="5" fillId="0" borderId="6" xfId="0" applyNumberFormat="1" applyFont="1" applyFill="1" applyBorder="1" applyAlignment="1">
      <x:alignment vertical="center"/>
    </x:xf>
    <x:xf numFmtId="210" fontId="5" fillId="0" borderId="8" xfId="0" applyNumberFormat="1" applyFont="1" applyFill="1" applyBorder="1" applyAlignment="1">
      <x:alignment vertical="center"/>
    </x:xf>
    <x:xf numFmtId="210" fontId="5" fillId="0" borderId="10" xfId="0" applyNumberFormat="1" applyFont="1" applyFill="1" applyBorder="1" applyAlignment="1">
      <x:alignment vertical="center"/>
    </x:xf>
    <x:xf numFmtId="210" fontId="5" fillId="3" borderId="6" xfId="0" applyNumberFormat="1" applyFont="1" applyFill="1" applyBorder="1" applyAlignment="1">
      <x:alignment vertical="center"/>
    </x:xf>
    <x:xf numFmtId="210" fontId="5" fillId="3" borderId="8" xfId="0" applyNumberFormat="1" applyFont="1" applyFill="1" applyBorder="1" applyAlignment="1">
      <x:alignment vertical="center"/>
    </x:xf>
    <x:xf numFmtId="210" fontId="5" fillId="3" borderId="10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/>
    <x:xf numFmtId="203" fontId="6" fillId="5" borderId="4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203" fontId="6" fillId="5" borderId="7" xfId="0" applyNumberFormat="1" applyFont="1" applyFill="1" applyBorder="1"/>
    <x:xf numFmtId="0" fontId="6" fillId="5" borderId="9" xfId="0" applyNumberFormat="1" applyFont="1" applyFill="1" applyBorder="1"/>
    <x:xf numFmtId="203" fontId="6" fillId="5" borderId="7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211" fontId="0" fillId="0" borderId="0" xfId="0" applyNumberFormat="1" applyFont="1" applyFill="1" applyBorder="1"/>
    <x:xf numFmtId="211" fontId="5" fillId="0" borderId="0" xfId="0" applyNumberFormat="1" applyFont="1" applyFill="1" applyBorder="1"/>
    <x:xf numFmtId="211" fontId="5" fillId="0" borderId="6" xfId="0" applyNumberFormat="1" applyFont="1" applyFill="1" applyBorder="1"/>
    <x:xf numFmtId="211" fontId="5" fillId="0" borderId="8" xfId="0" applyNumberFormat="1" applyFont="1" applyFill="1" applyBorder="1"/>
    <x:xf numFmtId="211" fontId="5" fillId="0" borderId="10" xfId="0" applyNumberFormat="1" applyFont="1" applyFill="1" applyBorder="1"/>
    <x:xf numFmtId="211" fontId="5" fillId="0" borderId="6" xfId="0" applyNumberFormat="1" applyFont="1" applyFill="1" applyBorder="1" applyAlignment="1">
      <x:alignment vertical="center"/>
    </x:xf>
    <x:xf numFmtId="211" fontId="5" fillId="0" borderId="8" xfId="0" applyNumberFormat="1" applyFont="1" applyFill="1" applyBorder="1" applyAlignment="1">
      <x:alignment vertical="center"/>
    </x:xf>
    <x:xf numFmtId="211" fontId="5" fillId="0" borderId="10" xfId="0" applyNumberFormat="1" applyFont="1" applyFill="1" applyBorder="1" applyAlignment="1">
      <x:alignment vertical="center"/>
    </x:xf>
    <x:xf numFmtId="0" fontId="20" fillId="0" borderId="6" xfId="0" applyNumberFormat="1" applyFont="1" applyFill="1" applyBorder="1" applyAlignment="1">
      <x:alignment vertical="center"/>
    </x:xf>
    <x:xf numFmtId="0" fontId="20" fillId="0" borderId="8" xfId="0" applyNumberFormat="1" applyFont="1" applyFill="1" applyBorder="1" applyAlignment="1">
      <x:alignment vertical="center"/>
    </x:xf>
    <x:xf numFmtId="0" fontId="20" fillId="0" borderId="10" xfId="0" applyNumberFormat="1" applyFont="1" applyFill="1" applyBorder="1" applyAlignment="1">
      <x:alignment vertical="center"/>
    </x:xf>
    <x:xf numFmtId="0" fontId="20" fillId="0" borderId="6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20" fillId="0" borderId="10" xfId="0" applyNumberFormat="1" applyFont="1" applyFill="1" applyBorder="1" applyAlignment="1">
      <x:alignment vertical="center" wrapText="1"/>
    </x:xf>
    <x:xf numFmtId="207" fontId="13" fillId="3" borderId="6" xfId="0" applyNumberFormat="1" applyFont="1" applyFill="1" applyBorder="1" applyAlignment="1">
      <x:alignment vertical="center"/>
    </x:xf>
    <x:xf numFmtId="203" fontId="13" fillId="3" borderId="6" xfId="0" applyNumberFormat="1" applyFont="1" applyFill="1" applyBorder="1" applyAlignment="1">
      <x:alignment vertical="center"/>
    </x:xf>
    <x:xf numFmtId="200" fontId="13" fillId="3" borderId="6" xfId="0" applyNumberFormat="1" applyFont="1" applyFill="1" applyBorder="1" applyAlignment="1">
      <x:alignment vertical="center"/>
    </x:xf>
    <x:xf numFmtId="0" fontId="13" fillId="3" borderId="6" xfId="0" applyNumberFormat="1" applyFont="1" applyFill="1" applyBorder="1" applyAlignment="1">
      <x:alignment vertical="center"/>
    </x:xf>
    <x:xf numFmtId="201" fontId="13" fillId="3" borderId="6" xfId="0" applyNumberFormat="1" applyFont="1" applyFill="1" applyBorder="1" applyAlignment="1">
      <x:alignment vertical="center"/>
    </x:xf>
    <x:xf numFmtId="0" fontId="13" fillId="7" borderId="8" xfId="0" applyNumberFormat="1" applyFont="1" applyFill="1" applyBorder="1" applyAlignment="1">
      <x:alignment vertical="center"/>
    </x:xf>
    <x:xf numFmtId="207" fontId="13" fillId="7" borderId="8" xfId="0" applyNumberFormat="1" applyFont="1" applyFill="1" applyBorder="1" applyAlignment="1">
      <x:alignment vertical="center"/>
    </x:xf>
    <x:xf numFmtId="203" fontId="13" fillId="7" borderId="8" xfId="0" applyNumberFormat="1" applyFont="1" applyFill="1" applyBorder="1" applyAlignment="1">
      <x:alignment vertical="center"/>
    </x:xf>
    <x:xf numFmtId="200" fontId="13" fillId="7" borderId="8" xfId="0" applyNumberFormat="1" applyFont="1" applyFill="1" applyBorder="1" applyAlignment="1">
      <x:alignment vertical="center"/>
    </x:xf>
    <x:xf numFmtId="201" fontId="13" fillId="7" borderId="8" xfId="0" applyNumberFormat="1" applyFont="1" applyFill="1" applyBorder="1" applyAlignment="1">
      <x:alignment vertical="center"/>
    </x:xf>
    <x:xf numFmtId="207" fontId="13" fillId="3" borderId="8" xfId="0" applyNumberFormat="1" applyFont="1" applyFill="1" applyBorder="1" applyAlignment="1">
      <x:alignment vertical="center"/>
    </x:xf>
    <x:xf numFmtId="203" fontId="14" fillId="5" borderId="9" xfId="0" applyNumberFormat="1" applyFont="1" applyFill="1" applyBorder="1" applyAlignment="1">
      <x:alignment vertical="center"/>
    </x:xf>
    <x:xf numFmtId="200" fontId="13" fillId="3" borderId="8" xfId="0" applyNumberFormat="1" applyFont="1" applyFill="1" applyBorder="1" applyAlignment="1">
      <x:alignment vertical="center"/>
    </x:xf>
    <x:xf numFmtId="0" fontId="13" fillId="3" borderId="8" xfId="0" applyNumberFormat="1" applyFont="1" applyFill="1" applyBorder="1" applyAlignment="1">
      <x:alignment vertical="center"/>
    </x:xf>
    <x:xf numFmtId="201" fontId="13" fillId="3" borderId="8" xfId="0" applyNumberFormat="1" applyFont="1" applyFill="1" applyBorder="1" applyAlignment="1">
      <x:alignment vertical="center"/>
    </x:xf>
    <x:xf numFmtId="203" fontId="13" fillId="3" borderId="8" xfId="0" applyNumberFormat="1" applyFont="1" applyFill="1" applyBorder="1" applyAlignment="1">
      <x:alignment vertical="center"/>
    </x:xf>
    <x:xf numFmtId="207" fontId="14" fillId="5" borderId="11" xfId="0" applyNumberFormat="1" applyFont="1" applyFill="1" applyBorder="1" applyAlignment="1">
      <x:alignment vertical="center"/>
    </x:xf>
    <x:xf numFmtId="203" fontId="13" fillId="3" borderId="10" xfId="0" applyNumberFormat="1" applyFont="1" applyFill="1" applyBorder="1" applyAlignment="1">
      <x:alignment vertical="center"/>
    </x:xf>
    <x:xf numFmtId="200" fontId="13" fillId="3" borderId="10" xfId="0" applyNumberFormat="1" applyFont="1" applyFill="1" applyBorder="1" applyAlignment="1">
      <x:alignment vertical="center"/>
    </x:xf>
    <x:xf numFmtId="207" fontId="13" fillId="3" borderId="10" xfId="0" applyNumberFormat="1" applyFont="1" applyFill="1" applyBorder="1" applyAlignment="1">
      <x:alignment vertical="center"/>
    </x:xf>
    <x:xf numFmtId="0" fontId="13" fillId="3" borderId="10" xfId="0" applyNumberFormat="1" applyFont="1" applyFill="1" applyBorder="1" applyAlignment="1">
      <x:alignment vertical="center"/>
    </x:xf>
    <x:xf numFmtId="201" fontId="13" fillId="3" borderId="10" xfId="0" applyNumberFormat="1" applyFont="1" applyFill="1" applyBorder="1" applyAlignment="1">
      <x:alignment vertical="center"/>
    </x:xf>
    <x:xf numFmtId="208" fontId="13" fillId="3" borderId="6" xfId="0" applyNumberFormat="1" applyFont="1" applyFill="1" applyBorder="1" applyAlignment="1">
      <x:alignment vertical="center"/>
    </x:xf>
    <x:xf numFmtId="209" fontId="13" fillId="3" borderId="6" xfId="0" applyNumberFormat="1" applyFont="1" applyFill="1" applyBorder="1" applyAlignment="1">
      <x:alignment vertical="center"/>
    </x:xf>
    <x:xf numFmtId="208" fontId="13" fillId="3" borderId="8" xfId="0" applyNumberFormat="1" applyFont="1" applyFill="1" applyBorder="1" applyAlignment="1">
      <x:alignment vertical="center"/>
    </x:xf>
    <x:xf numFmtId="209" fontId="13" fillId="3" borderId="8" xfId="0" applyNumberFormat="1" applyFont="1" applyFill="1" applyBorder="1" applyAlignment="1">
      <x:alignment vertical="center"/>
    </x:xf>
    <x:xf numFmtId="0" fontId="13" fillId="9" borderId="8" xfId="0" applyNumberFormat="1" applyFont="1" applyFill="1" applyBorder="1" applyAlignment="1">
      <x:alignment vertical="center"/>
    </x:xf>
    <x:xf numFmtId="208" fontId="13" fillId="9" borderId="8" xfId="0" applyNumberFormat="1" applyFont="1" applyFill="1" applyBorder="1" applyAlignment="1">
      <x:alignment vertical="center"/>
    </x:xf>
    <x:xf numFmtId="209" fontId="13" fillId="9" borderId="8" xfId="0" applyNumberFormat="1" applyFont="1" applyFill="1" applyBorder="1" applyAlignment="1">
      <x:alignment vertical="center"/>
    </x:xf>
    <x:xf numFmtId="0" fontId="13" fillId="9" borderId="10" xfId="0" applyNumberFormat="1" applyFont="1" applyFill="1" applyBorder="1" applyAlignment="1">
      <x:alignment vertical="center"/>
    </x:xf>
    <x:xf numFmtId="208" fontId="13" fillId="9" borderId="10" xfId="0" applyNumberFormat="1" applyFont="1" applyFill="1" applyBorder="1" applyAlignment="1">
      <x:alignment vertical="center"/>
    </x:xf>
    <x:xf numFmtId="209" fontId="13" fillId="9" borderId="10" xfId="0" applyNumberFormat="1" applyFont="1" applyFill="1" applyBorder="1" applyAlignment="1">
      <x:alignment vertical="center"/>
    </x:xf>
    <x:xf numFmtId="209" fontId="15" fillId="5" borderId="0" xfId="0" applyNumberFormat="1" applyFont="1" applyFill="1" applyBorder="1" applyAlignment="1">
      <x:alignment horizontal="center"/>
    </x:xf>
    <x:xf numFmtId="205" fontId="13" fillId="3" borderId="6" xfId="0" applyNumberFormat="1" applyFont="1" applyFill="1" applyBorder="1" applyAlignment="1">
      <x:alignment vertical="center"/>
    </x:xf>
    <x:xf numFmtId="205" fontId="13" fillId="7" borderId="8" xfId="0" applyNumberFormat="1" applyFont="1" applyFill="1" applyBorder="1" applyAlignment="1">
      <x:alignment vertical="center"/>
    </x:xf>
    <x:xf numFmtId="205" fontId="13" fillId="3" borderId="8" xfId="0" applyNumberFormat="1" applyFont="1" applyFill="1" applyBorder="1" applyAlignment="1">
      <x:alignment vertical="center"/>
    </x:xf>
    <x:xf numFmtId="205" fontId="13" fillId="3" borderId="10" xfId="0" applyNumberFormat="1" applyFont="1" applyFill="1" applyBorder="1" applyAlignment="1">
      <x:alignment vertical="center"/>
    </x:xf>
    <x:xf numFmtId="206" fontId="13" fillId="3" borderId="6" xfId="0" applyNumberFormat="1" applyFont="1" applyFill="1" applyBorder="1" applyAlignment="1">
      <x:alignment vertical="center"/>
    </x:xf>
    <x:xf numFmtId="206" fontId="13" fillId="7" borderId="8" xfId="0" applyNumberFormat="1" applyFont="1" applyFill="1" applyBorder="1" applyAlignment="1">
      <x:alignment vertical="center"/>
    </x:xf>
    <x:xf numFmtId="206" fontId="13" fillId="3" borderId="8" xfId="0" applyNumberFormat="1" applyFont="1" applyFill="1" applyBorder="1" applyAlignment="1">
      <x:alignment vertical="center"/>
    </x:xf>
    <x:xf numFmtId="206" fontId="13" fillId="3" borderId="10" xfId="0" applyNumberFormat="1" applyFont="1" applyFill="1" applyBorder="1" applyAlignment="1">
      <x:alignment vertical="center"/>
    </x:xf>
    <x:xf numFmtId="0" fontId="12" fillId="4" borderId="19" xfId="0" applyNumberFormat="1" applyFont="1" applyFill="1" applyBorder="1" applyAlignment="1">
      <x:alignment horizontal="center" vertical="center" wrapText="1"/>
    </x:xf>
    <x:xf numFmtId="0" fontId="15" fillId="5" borderId="18" xfId="0" applyNumberFormat="1" applyFont="1" applyFill="1" applyBorder="1"/>
    <x:xf numFmtId="207" fontId="10" fillId="3" borderId="0" xfId="0" applyNumberFormat="1" applyFont="1" applyFill="1" applyBorder="1"/>
    <x:xf numFmtId="203" fontId="10" fillId="3" borderId="0" xfId="0" applyNumberFormat="1" applyFont="1" applyFill="1" applyBorder="1"/>
    <x:xf numFmtId="0" fontId="21" fillId="5" borderId="32" xfId="0" applyNumberFormat="1" applyFont="1" applyFill="1" applyBorder="1" applyAlignment="1">
      <x:alignment vertical="center"/>
    </x:xf>
    <x:xf numFmtId="0" fontId="21" fillId="5" borderId="33" xfId="0" applyNumberFormat="1" applyFont="1" applyFill="1" applyBorder="1" applyAlignment="1">
      <x:alignment vertical="center"/>
    </x:xf>
    <x:xf numFmtId="0" fontId="21" fillId="5" borderId="34" xfId="0" applyNumberFormat="1" applyFont="1" applyFill="1" applyBorder="1" applyAlignment="1">
      <x:alignment vertical="center"/>
    </x:xf>
    <x:xf numFmtId="0" fontId="21" fillId="5" borderId="28" xfId="0" applyNumberFormat="1" applyFont="1" applyFill="1" applyBorder="1" applyAlignment="1">
      <x:alignment vertical="center"/>
    </x:xf>
    <x:xf numFmtId="0" fontId="21" fillId="5" borderId="8" xfId="0" applyNumberFormat="1" applyFont="1" applyFill="1" applyBorder="1" applyAlignment="1">
      <x:alignment vertical="center"/>
    </x:xf>
    <x:xf numFmtId="0" fontId="21" fillId="5" borderId="29" xfId="0" applyNumberFormat="1" applyFont="1" applyFill="1" applyBorder="1" applyAlignment="1">
      <x:alignment vertical="center"/>
    </x:xf>
    <x:xf numFmtId="0" fontId="21" fillId="5" borderId="35" xfId="0" applyNumberFormat="1" applyFont="1" applyFill="1" applyBorder="1" applyAlignment="1">
      <x:alignment vertical="center"/>
    </x:xf>
    <x:xf numFmtId="0" fontId="21" fillId="5" borderId="36" xfId="0" applyNumberFormat="1" applyFont="1" applyFill="1" applyBorder="1" applyAlignment="1">
      <x:alignment vertical="center"/>
    </x:xf>
    <x:xf numFmtId="0" fontId="21" fillId="5" borderId="37" xfId="0" applyNumberFormat="1" applyFont="1" applyFill="1" applyBorder="1" applyAlignment="1">
      <x:alignment vertical="center"/>
    </x:xf>
    <x:xf numFmtId="210" fontId="13" fillId="3" borderId="6" xfId="0" applyNumberFormat="1" applyFont="1" applyFill="1" applyBorder="1" applyAlignment="1">
      <x:alignment vertical="center"/>
    </x:xf>
    <x:xf numFmtId="209" fontId="10" fillId="0" borderId="0" xfId="0" applyNumberFormat="1" applyFont="1" applyFill="1" applyBorder="1"/>
    <x:xf numFmtId="210" fontId="13" fillId="3" borderId="8" xfId="0" applyNumberFormat="1" applyFont="1" applyFill="1" applyBorder="1" applyAlignment="1">
      <x:alignment vertical="center"/>
    </x:xf>
    <x:xf numFmtId="210" fontId="13" fillId="3" borderId="10" xfId="0" applyNumberFormat="1" applyFont="1" applyFill="1" applyBorder="1" applyAlignment="1">
      <x:alignment vertical="center"/>
    </x:xf>
    <x:xf numFmtId="203" fontId="14" fillId="5" borderId="7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/>
    </x:xf>
    <x:xf numFmtId="211" fontId="13" fillId="0" borderId="6" xfId="0" applyNumberFormat="1" applyFont="1" applyFill="1" applyBorder="1" applyAlignment="1">
      <x:alignment vertical="center"/>
    </x:xf>
    <x:xf numFmtId="211" fontId="13" fillId="0" borderId="8" xfId="0" applyNumberFormat="1" applyFont="1" applyFill="1" applyBorder="1" applyAlignment="1">
      <x:alignment vertical="center"/>
    </x:xf>
    <x:xf numFmtId="211" fontId="13" fillId="0" borderId="10" xfId="0" applyNumberFormat="1" applyFont="1" applyFill="1" applyBorder="1" applyAlignment="1">
      <x:alignment vertical="center"/>
    </x:xf>
    <x:xf numFmtId="0" fontId="22" fillId="0" borderId="6" xfId="0" applyNumberFormat="1" applyFont="1" applyFill="1" applyBorder="1" applyAlignment="1">
      <x:alignment vertical="center" wrapText="1"/>
    </x:xf>
    <x:xf numFmtId="0" fontId="22" fillId="0" borderId="8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22" fillId="0" borderId="10" xfId="0" applyNumberFormat="1" applyFont="1" applyFill="1" applyBorder="1" applyAlignment="1">
      <x:alignment vertical="center" wrapText="1"/>
    </x:xf>
    <x:xf numFmtId="212" fontId="17" fillId="8" borderId="15" xfId="0" applyNumberFormat="1" applyFont="1" applyFill="1" applyBorder="1" applyAlignment="1">
      <x:alignment horizontal="center" vertical="center"/>
    </x:xf>
    <x:xf numFmtId="212" fontId="10" fillId="0" borderId="0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5" fontId="0" fillId="0" borderId="0" xfId="0" applyNumberFormat="1" applyFont="1" applyFill="1" applyBorder="1"/>
    <x:xf numFmtId="216" fontId="0" fillId="0" borderId="0" xfId="0" applyNumberFormat="1" applyFont="1" applyFill="1" applyBorder="1"/>
    <x:xf numFmtId="217" fontId="0" fillId="0" borderId="0" xfId="0" applyNumberFormat="1" applyFont="1" applyFill="1" applyBorder="1"/>
    <x:xf numFmtId="218" fontId="0" fillId="0" borderId="0" xfId="0" applyNumberFormat="1" applyFont="1" applyFill="1" applyBorder="1"/>
    <x:xf numFmtId="0" fontId="13" fillId="0" borderId="0" xfId="0" applyNumberFormat="1" applyFont="1" applyFill="1" applyBorder="1"/>
    <x:xf numFmtId="213" fontId="13" fillId="0" borderId="0" xfId="0" applyNumberFormat="1" applyFont="1" applyFill="1" applyBorder="1"/>
    <x:xf numFmtId="207" fontId="13" fillId="0" borderId="0" xfId="0" applyNumberFormat="1" applyFont="1" applyFill="1" applyBorder="1"/>
    <x:xf numFmtId="218" fontId="13" fillId="0" borderId="0" xfId="0" applyNumberFormat="1" applyFont="1" applyFill="1" applyBorder="1"/>
    <x:xf numFmtId="214" fontId="13" fillId="0" borderId="0" xfId="0" applyNumberFormat="1" applyFont="1" applyFill="1" applyBorder="1"/>
    <x:xf numFmtId="215" fontId="13" fillId="0" borderId="0" xfId="0" applyNumberFormat="1" applyFont="1" applyFill="1" applyBorder="1"/>
    <x:xf numFmtId="216" fontId="13" fillId="0" borderId="0" xfId="0" applyNumberFormat="1" applyFont="1" applyFill="1" applyBorder="1"/>
    <x:xf numFmtId="205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17" fontId="13" fillId="0" borderId="0" xfId="0" applyNumberFormat="1" applyFont="1" applyFill="1" applyBorder="1"/>
    <x:xf numFmtId="0" fontId="13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/>
    </x:xf>
    <x:xf numFmtId="0" fontId="9" fillId="10" borderId="0" xfId="0" applyNumberFormat="1" applyFont="1" applyFill="1" applyBorder="1" applyAlignment="1">
      <x:alignment horizontal="left" vertical="center"/>
    </x:xf>
    <x:xf numFmtId="0" fontId="13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38" xfId="0" applyNumberFormat="1" applyFont="1" applyFill="1" applyBorder="1"/>
    <x:xf numFmtId="0" fontId="12" fillId="12" borderId="38" xfId="0" applyNumberFormat="1" applyFont="1" applyFill="1" applyBorder="1" applyAlignment="1">
      <x:alignment wrapText="1"/>
    </x:xf>
    <x:xf numFmtId="0" fontId="12" fillId="12" borderId="38" xfId="0" applyNumberFormat="1" applyFont="1" applyFill="1" applyBorder="1" applyAlignment="1">
      <x:alignment horizontal="center" wrapText="1"/>
    </x:xf>
    <x:xf numFmtId="0" fontId="12" fillId="12" borderId="38" xfId="0" applyNumberFormat="1" applyFont="1" applyFill="1" applyBorder="1" applyAlignment="1">
      <x:alignment horizontal="center" vertical="center" wrapText="1"/>
    </x:xf>
    <x:xf numFmtId="0" fontId="13" fillId="0" xfId="0" applyNumberFormat="1" applyFont="1" applyFill="1" applyBorder="0"/>
    <x:xf numFmtId="213" fontId="13" fillId="0" xfId="0" applyNumberFormat="1" applyFont="1" applyFill="1" applyBorder="0"/>
    <x:xf numFmtId="207" fontId="13" fillId="0" xfId="0" applyNumberFormat="1" applyFont="1" applyFill="1" applyBorder="0"/>
    <x:xf numFmtId="214" fontId="13" fillId="0" xfId="0" applyNumberFormat="1" applyFont="1" applyFill="1" applyBorder="0"/>
    <x:xf numFmtId="215" fontId="13" fillId="0" xfId="0" applyNumberFormat="1" applyFont="1" applyFill="1" applyBorder="0"/>
    <x:xf numFmtId="0" fontId="13" fillId="0" borderId="6" xfId="0" applyNumberFormat="1" applyFont="1" applyFill="1" applyBorder="1"/>
    <x:xf numFmtId="216" fontId="13" fillId="0" borderId="6" xfId="0" applyNumberFormat="1" applyFont="1" applyFill="1" applyBorder="1"/>
    <x:xf numFmtId="205" fontId="13" fillId="0" xfId="0" applyNumberFormat="1" applyFont="1" applyFill="1" applyBorder="0"/>
    <x:xf numFmtId="205" fontId="13" fillId="0" borderId="6" xfId="0" applyNumberFormat="1" applyFont="1" applyFill="1" applyBorder="1"/>
    <x:xf numFmtId="215" fontId="13" fillId="0" borderId="6" xfId="0" applyNumberFormat="1" applyFont="1" applyFill="1" applyBorder="1"/>
    <x:xf numFmtId="201" fontId="13" fillId="0" xfId="0" applyNumberFormat="1" applyFont="1" applyFill="1" applyBorder="0"/>
    <x:xf numFmtId="207" fontId="13" fillId="0" borderId="6" xfId="0" applyNumberFormat="1" applyFont="1" applyFill="1" applyBorder="1"/>
    <x:xf numFmtId="201" fontId="13" fillId="0" borderId="6" xfId="0" applyNumberFormat="1" applyFont="1" applyFill="1" applyBorder="1"/>
    <x:xf numFmtId="200" fontId="13" fillId="0" xfId="0" applyNumberFormat="1" applyFont="1" applyFill="1" applyBorder="0"/>
    <x:xf numFmtId="217" fontId="13" fillId="0" borderId="6" xfId="0" applyNumberFormat="1" applyFont="1" applyFill="1" applyBorder="1"/>
    <x:xf numFmtId="213" fontId="13" fillId="13" xfId="0" applyNumberFormat="1" applyFont="1" applyFill="1" applyBorder="0"/>
    <x:xf numFmtId="207" fontId="13" fillId="13" xfId="0" applyNumberFormat="1" applyFont="1" applyFill="1" applyBorder="0"/>
    <x:xf numFmtId="214" fontId="13" fillId="13" xfId="0" applyNumberFormat="1" applyFont="1" applyFill="1" applyBorder="0"/>
    <x:xf numFmtId="213" fontId="14" fillId="13" xfId="0" applyNumberFormat="1" applyFont="1" applyFill="1" applyBorder="0"/>
    <x:xf numFmtId="207" fontId="14" fillId="13" xfId="0" applyNumberFormat="1" applyFont="1" applyFill="1" applyBorder="0"/>
    <x:xf numFmtId="214" fontId="14" fillId="13" xfId="0" applyNumberFormat="1" applyFont="1" applyFill="1" applyBorder="0"/>
    <x:xf numFmtId="213" fontId="14" fillId="11" xfId="0" applyNumberFormat="1" applyFont="1" applyFill="1" applyBorder="0"/>
    <x:xf numFmtId="207" fontId="14" fillId="11" xfId="0" applyNumberFormat="1" applyFont="1" applyFill="1" applyBorder="0"/>
    <x:xf numFmtId="214" fontId="14" fillId="11" xfId="0" applyNumberFormat="1" applyFont="1" applyFill="1" applyBorder="0"/>
    <x:xf numFmtId="215" fontId="13" fillId="13" xfId="0" applyNumberFormat="1" applyFont="1" applyFill="1" applyBorder="0"/>
    <x:xf numFmtId="215" fontId="14" fillId="13" xfId="0" applyNumberFormat="1" applyFont="1" applyFill="1" applyBorder="0"/>
    <x:xf numFmtId="207" fontId="13" fillId="11" xfId="0" applyNumberFormat="1" applyFont="1" applyFill="1" applyBorder="0"/>
    <x:xf numFmtId="205" fontId="13" fillId="11" xfId="0" applyNumberFormat="1" applyFont="1" applyFill="1" applyBorder="0"/>
    <x:xf numFmtId="205" fontId="13" fillId="11" borderId="6" xfId="0" applyNumberFormat="1" applyFont="1" applyFill="1" applyBorder="1"/>
    <x:xf numFmtId="0" fontId="13" fillId="11" xfId="0" applyNumberFormat="1" applyFont="1" applyFill="1" applyBorder="0"/>
    <x:xf numFmtId="215" fontId="13" fillId="11" borderId="6" xfId="0" applyNumberFormat="1" applyFont="1" applyFill="1" applyBorder="1"/>
    <x:xf numFmtId="201" fontId="13" fillId="11" xfId="0" applyNumberFormat="1" applyFont="1" applyFill="1" applyBorder="0"/>
    <x:xf numFmtId="207" fontId="13" fillId="11" borderId="6" xfId="0" applyNumberFormat="1" applyFont="1" applyFill="1" applyBorder="1"/>
    <x:xf numFmtId="215" fontId="13" fillId="11" xfId="0" applyNumberFormat="1" applyFont="1" applyFill="1" applyBorder="0"/>
    <x:xf numFmtId="200" fontId="13" fillId="11" xfId="0" applyNumberFormat="1" applyFont="1" applyFill="1" applyBorder="0"/>
    <x:xf numFmtId="217" fontId="13" fillId="11" borderId="6" xfId="0" applyNumberFormat="1" applyFont="1" applyFill="1" applyBorder="1"/>
    <x:xf numFmtId="218" fontId="13" fillId="11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top" wrapText="1"/>
    </x:xf>
    <x:xf numFmtId="0" fontId="23" fillId="12" borderId="0" xfId="0" applyNumberFormat="1" applyFont="1" applyFill="1" applyBorder="1"/>
    <x:xf numFmtId="0" fontId="23" fillId="12" borderId="0" xfId="0" applyNumberFormat="1" applyFont="1" applyFill="1" applyBorder="1" applyAlignment="1">
      <x:alignment wrapText="1"/>
    </x:xf>
    <x:xf numFmtId="0" fontId="23" fillId="12" borderId="0" xfId="0" applyNumberFormat="1" applyFont="1" applyFill="1" applyBorder="1" applyAlignment="1">
      <x:alignment horizontal="center" wrapText="1"/>
    </x:xf>
    <x:xf numFmtId="0" fontId="23" fillId="12" borderId="0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/>
    <x:xf numFmtId="200" fontId="24" fillId="0" borderId="0" xfId="0" applyNumberFormat="1" applyFont="1" applyFill="1" applyBorder="1"/>
    <x:xf numFmtId="0" fontId="25" fillId="0" borderId="0" xfId="0" applyNumberFormat="1" applyFont="1" applyFill="1" applyBorder="1"/>
    <x:xf numFmtId="218" fontId="25" fillId="11" borderId="0" xfId="0" applyNumberFormat="1" applyFont="1" applyFill="1" applyBorder="1"/>
    <x:xf numFmtId="0" fontId="13" fillId="0" xfId="0" applyNumberFormat="1" applyFont="1" applyFill="1" applyBorder="0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207" fontId="13" fillId="0" xfId="0" applyNumberFormat="1" applyFont="1" applyFill="1" applyBorder="0" applyAlignment="1">
      <x:alignment wrapText="1"/>
    </x:xf>
    <x:xf numFmtId="201" fontId="13" fillId="0" xfId="0" applyNumberFormat="1" applyFont="1" applyFill="1" applyBorder="0" applyAlignment="1">
      <x:alignment wrapText="1"/>
    </x:xf>
    <x:xf numFmtId="207" fontId="13" fillId="0" borderId="6" xfId="0" applyNumberFormat="1" applyFont="1" applyFill="1" applyBorder="1" applyAlignment="1">
      <x:alignment wrapText="1"/>
    </x:xf>
    <x:xf numFmtId="201" fontId="13" fillId="0" borderId="6" xfId="0" applyNumberFormat="1" applyFont="1" applyFill="1" applyBorder="1" applyAlignment="1">
      <x:alignment wrapText="1"/>
    </x:xf>
    <x:xf numFmtId="207" fontId="13" fillId="11" xfId="0" applyNumberFormat="1" applyFont="1" applyFill="1" applyBorder="0" applyAlignment="1">
      <x:alignment wrapText="1"/>
    </x:xf>
    <x:xf numFmtId="215" fontId="13" fillId="11" xfId="0" applyNumberFormat="1" applyFont="1" applyFill="1" applyBorder="0" applyAlignment="1">
      <x:alignment wrapText="1"/>
    </x:xf>
    <x:xf numFmtId="200" fontId="13" fillId="11" xfId="0" applyNumberFormat="1" applyFont="1" applyFill="1" applyBorder="0" applyAlignment="1">
      <x:alignment wrapText="1"/>
    </x:xf>
    <x:xf numFmtId="217" fontId="13" fillId="11" borderId="6" xfId="0" applyNumberFormat="1" applyFont="1" applyFill="1" applyBorder="1" applyAlignment="1">
      <x:alignment wrapText="1"/>
    </x:xf>
    <x:xf numFmtId="215" fontId="13" fillId="3" borderId="1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/>
    <x:xf numFmtId="0" fontId="13" fillId="14" borderId="10" xfId="0" applyNumberFormat="1" applyFont="1" applyFill="1" applyBorder="1" applyAlignment="1">
      <x:alignment vertical="center" wrapText="1"/>
    </x:xf>
    <x:xf numFmtId="207" fontId="14" fillId="14" borderId="11" xfId="0" applyNumberFormat="1" applyFont="1" applyFill="1" applyBorder="1" applyAlignment="1">
      <x:alignment vertical="center"/>
    </x:xf>
    <x:xf numFmtId="215" fontId="13" fillId="14" borderId="10" xfId="0" applyNumberFormat="1" applyFont="1" applyFill="1" applyBorder="1" applyAlignment="1">
      <x:alignment vertical="center"/>
    </x:xf>
    <x:xf numFmtId="207" fontId="13" fillId="14" borderId="10" xfId="0" applyNumberFormat="1" applyFont="1" applyFill="1" applyBorder="1" applyAlignment="1">
      <x:alignment vertical="center"/>
    </x:xf>
    <x:xf numFmtId="201" fontId="13" fillId="14" borderId="10" xfId="0" applyNumberFormat="1" applyFont="1" applyFill="1" applyBorder="1" applyAlignment="1">
      <x:alignment vertical="center"/>
    </x:xf>
    <x:xf numFmtId="200" fontId="13" fillId="14" borderId="10" xfId="0" applyNumberFormat="1" applyFont="1" applyFill="1" applyBorder="1" applyAlignment="1">
      <x:alignment vertical="center"/>
    </x:xf>
    <x:xf numFmtId="201" fontId="10" fillId="14" borderId="0" xfId="0" applyNumberFormat="1" applyFont="1" applyFill="1" applyBorder="1"/>
    <x:xf numFmtId="0" fontId="14" fillId="14" borderId="10" xfId="0" applyNumberFormat="1" applyFont="1" applyFill="1" applyBorder="1" applyAlignment="1">
      <x:alignment vertical="center" wrapText="1"/>
    </x:xf>
    <x:xf numFmtId="215" fontId="14" fillId="14" borderId="10" xfId="0" applyNumberFormat="1" applyFont="1" applyFill="1" applyBorder="1" applyAlignment="1">
      <x:alignment vertical="center"/>
    </x:xf>
    <x:xf numFmtId="207" fontId="14" fillId="14" borderId="10" xfId="0" applyNumberFormat="1" applyFont="1" applyFill="1" applyBorder="1" applyAlignment="1">
      <x:alignment vertical="center"/>
    </x:xf>
    <x:xf numFmtId="201" fontId="14" fillId="14" borderId="10" xfId="0" applyNumberFormat="1" applyFont="1" applyFill="1" applyBorder="1" applyAlignment="1">
      <x:alignment vertical="center"/>
    </x:xf>
    <x:xf numFmtId="200" fontId="14" fillId="14" borderId="10" xfId="0" applyNumberFormat="1" applyFont="1" applyFill="1" applyBorder="1" applyAlignment="1">
      <x:alignment vertical="center"/>
    </x:xf>
    <x:xf numFmtId="201" fontId="14" fillId="14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207" fontId="0" fillId="11" borderId="0" xfId="0" applyNumberFormat="1" applyFont="1" applyFill="1" applyBorder="1"/>
    <x:xf numFmtId="215" fontId="0" fillId="11" borderId="0" xfId="0" applyNumberFormat="1" applyFont="1" applyFill="1" applyBorder="1"/>
    <x:xf numFmtId="201" fontId="0" fillId="11" borderId="0" xfId="0" applyNumberFormat="1" applyFont="1" applyFill="1" applyBorder="1"/>
    <x:xf numFmtId="200" fontId="0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207" fontId="14" fillId="11" borderId="0" xfId="0" applyNumberFormat="1" applyFont="1" applyFill="1" applyBorder="1"/>
    <x:xf numFmtId="215" fontId="14" fillId="11" borderId="0" xfId="0" applyNumberFormat="1" applyFont="1" applyFill="1" applyBorder="1"/>
    <x:xf numFmtId="201" fontId="14" fillId="11" borderId="0" xfId="0" applyNumberFormat="1" applyFont="1" applyFill="1" applyBorder="1"/>
    <x:xf numFmtId="200" fontId="14" fillId="11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7" fontId="0" fillId="15" borderId="0" xfId="0" applyNumberFormat="1" applyFont="1" applyFill="1" applyBorder="1"/>
    <x:xf numFmtId="215" fontId="0" fillId="15" borderId="0" xfId="0" applyNumberFormat="1" applyFont="1" applyFill="1" applyBorder="1"/>
    <x:xf numFmtId="201" fontId="0" fillId="15" borderId="0" xfId="0" applyNumberFormat="1" applyFont="1" applyFill="1" applyBorder="1"/>
    <x:xf numFmtId="200" fontId="0" fillId="15" borderId="0" xfId="0" applyNumberFormat="1" applyFont="1" applyFill="1" applyBorder="1"/>
    <x:xf numFmtId="207" fontId="0" fillId="13" borderId="0" xfId="0" applyNumberFormat="1" applyFont="1" applyFill="1" applyBorder="1"/>
    <x:xf numFmtId="0" fontId="13" fillId="14" borderId="10" xfId="0" applyNumberFormat="1" applyFont="1" applyFill="1" applyBorder="1" applyAlignment="1">
      <x:alignment vertical="center"/>
    </x:xf>
    <x:xf numFmtId="205" fontId="13" fillId="14" borderId="10" xfId="0" applyNumberFormat="1" applyFont="1" applyFill="1" applyBorder="1" applyAlignment="1">
      <x:alignment vertical="center"/>
    </x:xf>
    <x:xf numFmtId="0" fontId="14" fillId="14" borderId="10" xfId="0" applyNumberFormat="1" applyFont="1" applyFill="1" applyBorder="1" applyAlignment="1">
      <x:alignment vertical="center"/>
    </x:xf>
    <x:xf numFmtId="205" fontId="14" fillId="14" borderId="1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205" fontId="0" fillId="11" borderId="0" xfId="0" applyNumberFormat="1" applyFont="1" applyFill="1" applyBorder="1"/>
    <x:xf numFmtId="0" fontId="14" fillId="11" borderId="0" xfId="0" applyNumberFormat="1" applyFont="1" applyFill="1" applyBorder="1"/>
    <x:xf numFmtId="205" fontId="14" fillId="11" borderId="0" xfId="0" applyNumberFormat="1" applyFont="1" applyFill="1" applyBorder="1"/>
    <x:xf numFmtId="0" fontId="0" fillId="15" borderId="0" xfId="0" applyNumberFormat="1" applyFont="1" applyFill="1" applyBorder="1"/>
    <x:xf numFmtId="205" fontId="0" fillId="15" borderId="0" xfId="0" applyNumberFormat="1" applyFont="1" applyFill="1" applyBorder="1"/>
    <x:xf numFmtId="203" fontId="13" fillId="14" borderId="10" xfId="0" applyNumberFormat="1" applyFont="1" applyFill="1" applyBorder="1" applyAlignment="1">
      <x:alignment vertical="center"/>
    </x:xf>
    <x:xf numFmtId="206" fontId="13" fillId="14" borderId="10" xfId="0" applyNumberFormat="1" applyFont="1" applyFill="1" applyBorder="1" applyAlignment="1">
      <x:alignment vertical="center"/>
    </x:xf>
    <x:xf numFmtId="203" fontId="14" fillId="14" borderId="10" xfId="0" applyNumberFormat="1" applyFont="1" applyFill="1" applyBorder="1" applyAlignment="1">
      <x:alignment vertical="center"/>
    </x:xf>
    <x:xf numFmtId="206" fontId="14" fillId="14" borderId="1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/>
    <x:xf numFmtId="0" fontId="10" fillId="15" borderId="0" xfId="0" applyNumberFormat="1" applyFont="1" applyFill="1" applyBorder="1"/>
    <x:xf numFmtId="215" fontId="13" fillId="0" borderId="6" xfId="0" applyNumberFormat="1" applyFont="1" applyFill="1" applyBorder="1" applyAlignment="1">
      <x:alignment vertical="center"/>
    </x:xf>
    <x:xf numFmtId="215" fontId="13" fillId="0" borderId="8" xfId="0" applyNumberFormat="1" applyFont="1" applyFill="1" applyBorder="1" applyAlignment="1">
      <x:alignment vertical="center"/>
    </x:xf>
    <x:xf numFmtId="215" fontId="10" fillId="15" borderId="0" xfId="0" applyNumberFormat="1" applyFont="1" applyFill="1" applyBorder="1"/>
    <x:xf numFmtId="201" fontId="10" fillId="15" borderId="0" xfId="0" applyNumberFormat="1" applyFont="1" applyFill="1" applyBorder="1"/>
    <x:xf numFmtId="205" fontId="10" fillId="15" borderId="0" xfId="0" applyNumberFormat="1" applyFont="1" applyFill="1" applyBorder="1"/>
    <x:xf numFmtId="206" fontId="14" fillId="11" borderId="0" xfId="0" applyNumberFormat="1" applyFont="1" applyFill="1" applyBorder="1"/>
    <x:xf numFmtId="206" fontId="10" fillId="15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e5b511ea54ea9" /><Relationship Type="http://schemas.openxmlformats.org/officeDocument/2006/relationships/theme" Target="/xl/theme/theme1.xml" Id="R0ba93a44acb449bd" /><Relationship Type="http://schemas.openxmlformats.org/officeDocument/2006/relationships/sharedStrings" Target="/xl/sharedStrings.xml" Id="Re83c7da0fd044f59" /><Relationship Type="http://schemas.openxmlformats.org/officeDocument/2006/relationships/worksheet" Target="/xl/worksheets/sheet1.xml" Id="R920c6c887f9540d6" /><Relationship Type="http://schemas.openxmlformats.org/officeDocument/2006/relationships/worksheet" Target="/xl/worksheets/sheet2.xml" Id="R356ed88034384f80" /><Relationship Type="http://schemas.openxmlformats.org/officeDocument/2006/relationships/worksheet" Target="/xl/worksheets/sheet3.xml" Id="Rd8f02abf39914a9b" /><Relationship Type="http://schemas.openxmlformats.org/officeDocument/2006/relationships/worksheet" Target="/xl/worksheets/sheet4.xml" Id="R7b73a928262c4b8c" /><Relationship Type="http://schemas.openxmlformats.org/officeDocument/2006/relationships/worksheet" Target="/xl/worksheets/sheet5.xml" Id="R9617e763e1f34ee4" /><Relationship Type="http://schemas.openxmlformats.org/officeDocument/2006/relationships/worksheet" Target="/xl/worksheets/sheet6.xml" Id="Re16b4baec677416c" /><Relationship Type="http://schemas.openxmlformats.org/officeDocument/2006/relationships/worksheet" Target="/xl/worksheets/sheet7.xml" Id="R68c7bf39304c4def" /><Relationship Type="http://schemas.openxmlformats.org/officeDocument/2006/relationships/worksheet" Target="/xl/worksheets/sheet8.xml" Id="Rc7d428e54e5a452b" /><Relationship Type="http://schemas.openxmlformats.org/officeDocument/2006/relationships/worksheet" Target="/xl/worksheets/sheet9.xml" Id="R2db4306400df4747" /><Relationship Type="http://schemas.openxmlformats.org/officeDocument/2006/relationships/worksheet" Target="/xl/worksheets/sheet10.xml" Id="Rf8f1d7840aef4f6b" /><Relationship Type="http://schemas.openxmlformats.org/officeDocument/2006/relationships/worksheet" Target="/xl/worksheets/sheet11.xml" Id="R0599007380c1469e" /><Relationship Type="http://schemas.openxmlformats.org/officeDocument/2006/relationships/worksheet" Target="/xl/worksheets/sheet12.xml" Id="R2cc2b38d58db46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72cbe1c0a6405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91f64b8c637457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d7209b98cc547f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011a54cd6e74409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8d8c74917f345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model score (editable weights)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Combined score</c:v>
          </c:tx>
          <c:cat>
            <c:strRef>
              <c:f>'00_Start'!$J$21:$J$28</c:f>
              <c:strCache>
                <c:ptCount val="0"/>
              </c:strCache>
            </c:strRef>
          </c:cat>
          <c:val>
            <c:numRef>
              <c:f>'00_Start'!$O$21:$O$28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Error vs angle: independent mean and minimax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Independent error</c:v>
          </c:tx>
          <c:marker>
            <c:symbol val="none"/>
          </c:marker>
          <c:cat>
            <c:strRef>
              <c:f>'05_Angle_Scan'!$AJ$6:$AJ$18</c:f>
              <c:strCache>
                <c:ptCount val="0"/>
              </c:strCache>
            </c:strRef>
          </c:cat>
          <c:val>
            <c:numRef>
              <c:f>'05_Angle_Scan'!$AK$6:$AK$18</c:f>
              <c:numCache>
                <c:formatCode>0.000%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Maximum error</c:v>
          </c:tx>
          <c:marker>
            <c:symbol val="none"/>
          </c:marker>
          <c:cat>
            <c:strRef>
              <c:f>'05_Angle_Scan'!$AJ$6:$AJ$18</c:f>
              <c:strCache>
                <c:ptCount val="0"/>
              </c:strCache>
            </c:strRef>
          </c:cat>
          <c:val>
            <c:numRef>
              <c:f>'05_Angle_Scan'!$AL$6:$AL$18</c:f>
              <c:numCache>
                <c:formatCode>0.000%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Preferred angle relative to 11:7 [m°]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Δ [m°]</c:v>
          </c:tx>
          <c:cat>
            <c:strRef>
              <c:f>'08_Atraktory'!$J$6:$J$16</c:f>
              <c:strCache>
                <c:ptCount val="0"/>
              </c:strCache>
            </c:strRef>
          </c:cat>
          <c:val>
            <c:numRef>
              <c:f>'08_Atraktory'!$K$6:$K$16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Water refractive index vs wavelength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water n (IAPWS, 5°C)</c:v>
          </c:tx>
          <c:marker>
            <c:symbol val="none"/>
          </c:marker>
          <c:cat>
            <c:strRef>
              <c:f>'09_Optyka'!$A$14:$A$26</c:f>
              <c:strCache>
                <c:ptCount val="0"/>
              </c:strCache>
            </c:strRef>
          </c:cat>
          <c:val>
            <c:numRef>
              <c:f>'09_Optyka'!$B$14:$B$26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Profile half-width along normalized length 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Article p=1 (+)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'11_Golden_Egg'!$F$58:$F$98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Article p=1 (−)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'11_Golden_Egg'!$G$58:$G$98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Blender p=2 (+)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'11_Golden_Egg'!$L$58:$L$98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Blender p=2 (−)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'11_Golden_Egg'!$M$58:$M$98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Ellipsoid φ (+)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'11_Golden_Egg'!$O$58:$O$98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Ellipsoid φ (−)</c:v>
          </c:tx>
          <c:marker>
            <c:symbol val="none"/>
          </c:marker>
          <c:cat>
            <c:strRef>
              <c:f>'11_Golden_Egg'!$A$58:$A$98</c:f>
              <c:strCache>
                <c:ptCount val="0"/>
              </c:strCache>
            </c:strRef>
          </c:cat>
          <c:val>
            <c:numRef>
              <c:f>'11_Golden_Egg'!$P$58:$P$98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29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72cbe1c0a6405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25</xdr:col>
      <xdr:colOff>0</xdr:colOff>
      <xdr:row>4</xdr:row>
      <xdr:rowOff>0</xdr:rowOff>
    </xdr:from>
    <xdr:to>
      <xdr:col>34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1f64b8c637457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7209b98cc547f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11a54cd6e7440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35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8c74917f345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Table" displayName="ModelsTable" ref="A5:U11" headerRowCount="1" totalsRowCount="0" totalsRowShown="0">
  <x:tableColumns count="21">
    <x:tableColumn id="1" name="ID"/>
    <x:tableColumn id="2" name="Model"/>
    <x:tableColumn id="3" name="Basis of definition"/>
    <x:tableColumn id="4" name="B/H"/>
    <x:tableColumn id="5" name="Face slope angle [°]"/>
    <x:tableColumn id="6" name="Base side B [mm]"/>
    <x:tableColumn id="7" name="Height H [mm]"/>
    <x:tableColumn id="8" name="Half-base A [mm]"/>
    <x:tableColumn id="9" name="Base diagonal D [mm]"/>
    <x:tableColumn id="10" name="Slant height S [mm]"/>
    <x:tableColumn id="11" name="Lateral edge E [mm]"/>
    <x:tableColumn id="12" name="Lateral area / B²"/>
    <x:tableColumn id="13" name="Total area / B²"/>
    <x:tableColumn id="14" name="V / B³"/>
    <x:tableColumn id="15" name="p"/>
    <x:tableColumn id="16" name="q"/>
    <x:tableColumn id="17" name="p/q"/>
    <x:tableColumn id="18" name="Fraction error"/>
    <x:tableColumn id="19" name="|Δ observed angle| [°]"/>
    <x:tableColumn id="20" name="Seked [palms]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tantsTable" displayName="ConstantsTable" ref="A5:J33" headerRowCount="1" totalsRowCount="0" totalsRowShown="0">
  <x:tableColumns count="10">
    <x:tableColumn id="1" name="ID"/>
    <x:tableColumn id="2" name="Constant"/>
    <x:tableColumn id="3" name="Symbol"/>
    <x:tableColumn id="4" name="Reference value"/>
    <x:tableColumn id="5" name="Definition"/>
    <x:tableColumn id="6" name="Family"/>
    <x:tableColumn id="7" name="Independence weight"/>
    <x:tableColumn id="8" name="Role"/>
    <x:tableColumn id="9" name="Sourc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rorComparisonTable" displayName="ErrorComparisonTable" ref="A5:AF11" headerRowCount="1" totalsRowCount="0" totalsRowShown="0">
  <x:tableColumns count="32">
    <x:tableColumn id="1" name="Model"/>
    <x:tableColumn id="2" name="Angle [°]"/>
    <x:tableColumn id="3" name="B/H"/>
    <x:tableColumn id="4" name="π"/>
    <x:tableColumn id="5" name="γ"/>
    <x:tableColumn id="6" name="√3"/>
    <x:tableColumn id="7" name="√6"/>
    <x:tableColumn id="8" name="√2"/>
    <x:tableColumn id="9" name="√5"/>
    <x:tableColumn id="10" name="T"/>
    <x:tableColumn id="11" name="B₂"/>
    <x:tableColumn id="12" name="1/φ"/>
    <x:tableColumn id="13" name="φ"/>
    <x:tableColumn id="14" name="e"/>
    <x:tableColumn id="15" name="e−1"/>
    <x:tableColumn id="16" name="π error"/>
    <x:tableColumn id="17" name="γ error"/>
    <x:tableColumn id="18" name="√3 error"/>
    <x:tableColumn id="19" name="√6 error"/>
    <x:tableColumn id="20" name="√2 error"/>
    <x:tableColumn id="21" name="√5 error"/>
    <x:tableColumn id="22" name="T error"/>
    <x:tableColumn id="23" name="B₂ error"/>
    <x:tableColumn id="24" name="1/φ error"/>
    <x:tableColumn id="25" name="φ error"/>
    <x:tableColumn id="26" name="e error"/>
    <x:tableColumn id="27" name="e−1 error"/>
    <x:tableColumn id="28" name="Mean error across 12"/>
    <x:tableColumn id="29" name="Independent error"/>
    <x:tableColumn id="30" name="RMS"/>
    <x:tableColumn id="31" name="Maximum"/>
    <x:tableColumn id="32" name="Count within toler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onsensusTable" displayName="ConsensusTable" ref="A5:P11" headerRowCount="1" totalsRowCount="0" totalsRowShown="0">
  <x:tableColumns count="16">
    <x:tableColumn id="1" name="Model"/>
    <x:tableColumn id="2" name="Angle [°]"/>
    <x:tableColumn id="3" name="Mean error across 12"/>
    <x:tableColumn id="4" name="Independent error"/>
    <x:tableColumn id="5" name="RMS"/>
    <x:tableColumn id="6" name="Maximum"/>
    <x:tableColumn id="7" name="Matches"/>
    <x:tableColumn id="8" name="|Δ observation| [°]"/>
    <x:tableColumn id="9" name="Best p/q (q≤20)"/>
    <x:tableColumn id="10" name="Fraction error"/>
    <x:tableColumn id="11" name="Numerical assessment"/>
    <x:tableColumn id="12" name="Measurement assessment"/>
    <x:tableColumn id="13" name="Fraction assessment"/>
    <x:tableColumn id="14" name="Robustness [%]"/>
    <x:tableColumn id="15" name="Combined score"/>
    <x:tableColumn id="16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ngleScanTable" displayName="AngleScanTable" ref="A5:X246" headerRowCount="1" totalsRowCount="0" totalsRowShown="0">
  <x:tableColumns count="24">
    <x:tableColumn id="1" name="Angle [°]"/>
    <x:tableColumn id="2" name="B/H"/>
    <x:tableColumn id="3" name="π error"/>
    <x:tableColumn id="4" name="γ error"/>
    <x:tableColumn id="5" name="√3 error"/>
    <x:tableColumn id="6" name="√6 error"/>
    <x:tableColumn id="7" name="√2 error"/>
    <x:tableColumn id="8" name="√5 error"/>
    <x:tableColumn id="9" name="T error"/>
    <x:tableColumn id="10" name="B₂ error"/>
    <x:tableColumn id="11" name="1/φ error"/>
    <x:tableColumn id="12" name="φ error"/>
    <x:tableColumn id="13" name="e error"/>
    <x:tableColumn id="14" name="e−1 error"/>
    <x:tableColumn id="15" name="Mean of 12"/>
    <x:tableColumn id="16" name="Independent"/>
    <x:tableColumn id="17" name="RMS"/>
    <x:tableColumn id="18" name="Maximum"/>
    <x:tableColumn id="19" name="Matches"/>
    <x:tableColumn id="20" name="H/B"/>
    <x:tableColumn id="21" name="A/B"/>
    <x:tableColumn id="22" name="D/B"/>
    <x:tableColumn id="23" name="S/B"/>
    <x:tableColumn id="24" name="E/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Table" displayName="RelationsTable" ref="A19:J57" headerRowCount="1" totalsRowCount="0" totalsRowShown="0">
  <x:tableColumns count="10">
    <x:tableColumn id="1" name="ID"/>
    <x:tableColumn id="2" name="Relation"/>
    <x:tableColumn id="3" name="Expression"/>
    <x:tableColumn id="4" name="Type"/>
    <x:tableColumn id="5" name="Complexity"/>
    <x:tableColumn id="6" name="Value"/>
    <x:tableColumn id="7" name="Nearest constant"/>
    <x:tableColumn id="8" name="Relative error"/>
    <x:tableColumn id="9" name="Preliminary assessment"/>
    <x:tableColumn id="10" name="Com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ractiveIndexTable" displayName="RefractiveIndexTable" ref="A13:B26" headerRowCount="1" totalsRowCount="0" totalsRowShown="0">
  <x:tableColumns count="2">
    <x:tableColumn id="1" name="Wavelength [nm]"/>
    <x:tableColumn id="2" name="water n (IAPWS, 5°C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5:E13" headerRowCount="1" totalsRowCount="0" totalsRowShown="0">
  <x:tableColumns count="5">
    <x:tableColumn id="1" name="Source"/>
    <x:tableColumn id="2" name="Type"/>
    <x:tableColumn id="3" name="Use"/>
    <x:tableColumn id="4" name="URL"/>
    <x:tableColumn id="5" name="Assessment /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9fb51e004934a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b6e7784a454a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f58839cbd41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e99f0254fa4a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cad34372754f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de0115d9e4a04be5" /><Relationship Type="http://schemas.openxmlformats.org/officeDocument/2006/relationships/table" Target="/xl/tables/table5.xml" Id="Rc467a8abf38f44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8e0394f12c4b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305624bfb9a44b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70af8d15c193432c" /><Relationship Type="http://schemas.openxmlformats.org/officeDocument/2006/relationships/table" Target="/xl/tables/table7.xml" Id="Rab96ec648cbd40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be5095b70694d8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ffbe0bb22d3842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4" max="4" width="25" hidden="0" customWidth="1"/>
    <x:col min="5" max="5" width="13" hidden="0" customWidth="1"/>
    <x:col min="7" max="7" width="19" hidden="0" customWidth="1"/>
    <x:col min="8" max="8" width="42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126" t="str">
        <x:v>Great Pyramid — Mathematical Constants Laboratory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</x:row>
    <x:row r="3" ht="34" customHeight="1">
      <x:c r="A3" s="128" t="str">
        <x:v>The 11:7 model is a simple reference point, not a predetermined answer. All blue cells are calculations, while yellow cells are editable inputs.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</x:row>
    <x:row r="5" ht="32" customHeight="1">
      <x:c r="A5" s="129" t="str">
        <x:v>ANALYSIS PARAMETERS</x:v>
      </x:c>
      <x:c r="B5" s="130" t="str">
        <x:v>Value</x:v>
      </x:c>
      <x:c r="C5" s="127"/>
      <x:c r="D5" s="129" t="str">
        <x:v>CONSENSUS SCORE WEIGHTS</x:v>
      </x:c>
      <x:c r="E5" s="130" t="str">
        <x:v>Share</x:v>
      </x:c>
      <x:c r="F5" s="127"/>
      <x:c r="G5" s="129" t="str">
        <x:v>HOW TO READ THE RESULTS</x:v>
      </x:c>
      <x:c r="H5" s="130" t="str">
        <x:v>Meaning</x:v>
      </x:c>
      <x:c r="I5" s="127"/>
      <x:c r="J5" s="127"/>
      <x:c r="K5" s="127"/>
      <x:c r="L5" s="127"/>
      <x:c r="M5" s="127"/>
      <x:c r="N5" s="127"/>
      <x:c r="O5" s="127"/>
      <x:c r="P5" s="127"/>
    </x:row>
    <x:row r="6" ht="34" customHeight="1">
      <x:c r="A6" s="131" t="str">
        <x:v>Model base side [mm]</x:v>
      </x:c>
      <x:c r="B6" s="132" t="n">
        <x:v>72.0225</x:v>
      </x:c>
      <x:c r="C6" s="131"/>
      <x:c r="D6" s="131" t="str">
        <x:v>Independent accuracy</x:v>
      </x:c>
      <x:c r="E6" s="133" t="n">
        <x:v>0.35</x:v>
      </x:c>
      <x:c r="F6" s="131"/>
      <x:c r="G6" s="134" t="str">
        <x:v>11:7</x:v>
      </x:c>
      <x:c r="H6" s="134" t="str">
        <x:v>Simplest exact integer ratio 440:280; a good construction model.</x:v>
      </x:c>
      <x:c r="I6" s="127"/>
      <x:c r="J6" s="127"/>
      <x:c r="K6" s="127"/>
      <x:c r="L6" s="127"/>
      <x:c r="M6" s="127"/>
      <x:c r="N6" s="127"/>
      <x:c r="O6" s="127"/>
      <x:c r="P6" s="127"/>
    </x:row>
    <x:row r="7" ht="34" customHeight="1">
      <x:c r="A7" s="135" t="str">
        <x:v>Relative tolerance for constants</x:v>
      </x:c>
      <x:c r="B7" s="136" t="n">
        <x:v>0.001</x:v>
      </x:c>
      <x:c r="C7" s="135"/>
      <x:c r="D7" s="135" t="str">
        <x:v>Agreement with observation</x:v>
      </x:c>
      <x:c r="E7" s="137" t="n">
        <x:v>0.25</x:v>
      </x:c>
      <x:c r="F7" s="135"/>
      <x:c r="G7" s="138" t="str">
        <x:v>Minimum mean error</x:v>
      </x:c>
      <x:c r="H7" s="138" t="str">
        <x:v>The angle minimizing the mean error depends on the selected set and weights.</x:v>
      </x:c>
      <x:c r="I7" s="127"/>
      <x:c r="J7" s="127"/>
      <x:c r="K7" s="127"/>
      <x:c r="L7" s="127"/>
      <x:c r="M7" s="127"/>
      <x:c r="N7" s="127"/>
      <x:c r="O7" s="127"/>
      <x:c r="P7" s="127"/>
    </x:row>
    <x:row r="8" ht="34" customHeight="1">
      <x:c r="A8" s="135" t="str">
        <x:v>Reference observed angle [°]</x:v>
      </x:c>
      <x:c r="B8" s="139" t="n">
        <x:v>51.844</x:v>
      </x:c>
      <x:c r="C8" s="135"/>
      <x:c r="D8" s="135" t="str">
        <x:v>Fraction simplicity</x:v>
      </x:c>
      <x:c r="E8" s="137" t="n">
        <x:v>0.25</x:v>
      </x:c>
      <x:c r="F8" s="135"/>
      <x:c r="G8" s="138" t="str">
        <x:v>Minimax</x:v>
      </x:c>
      <x:c r="H8" s="138" t="str">
        <x:v>Angle minimizing the largest error — a conservative compromise.</x:v>
      </x:c>
      <x:c r="I8" s="127"/>
      <x:c r="J8" s="127"/>
      <x:c r="K8" s="127"/>
      <x:c r="L8" s="127"/>
      <x:c r="M8" s="127"/>
      <x:c r="N8" s="127"/>
      <x:c r="O8" s="127"/>
      <x:c r="P8" s="127"/>
    </x:row>
    <x:row r="9" ht="34" customHeight="1">
      <x:c r="A9" s="135" t="str">
        <x:v>Observation half-band [°]</x:v>
      </x:c>
      <x:c r="B9" s="139" t="n">
        <x:v>0.02</x:v>
      </x:c>
      <x:c r="C9" s="135"/>
      <x:c r="D9" s="135" t="str">
        <x:v>Robustness within band</x:v>
      </x:c>
      <x:c r="E9" s="137" t="n">
        <x:v>0.15</x:v>
      </x:c>
      <x:c r="F9" s="135"/>
      <x:c r="G9" s="138" t="str">
        <x:v>Structural constant</x:v>
      </x:c>
      <x:c r="H9" s="138" t="str">
        <x:v>For example, √2 follows from the square base and does not distinguish the slope angle.</x:v>
      </x:c>
      <x:c r="I9" s="127"/>
      <x:c r="J9" s="127"/>
      <x:c r="K9" s="127"/>
      <x:c r="L9" s="127"/>
      <x:c r="M9" s="127"/>
      <x:c r="N9" s="127"/>
      <x:c r="O9" s="127"/>
      <x:c r="P9" s="127"/>
    </x:row>
    <x:row r="10" ht="34" customHeight="1">
      <x:c r="A10" s="135" t="str">
        <x:v>Scan start [°]</x:v>
      </x:c>
      <x:c r="B10" s="139" t="n">
        <x:v>51.78</x:v>
      </x:c>
      <x:c r="C10" s="135"/>
      <x:c r="D10" s="135" t="str">
        <x:v>Weight sum</x:v>
      </x:c>
      <x:c r="E10" s="140" t="n">
        <x:f>SUM(E6:E9)</x:f>
        <x:v>1</x:v>
      </x:c>
      <x:c r="F10" s="135"/>
      <x:c r="G10" s="138" t="str">
        <x:v>New lead</x:v>
      </x:c>
      <x:c r="H10" s="138" t="str">
        <x:v>Requires a simple formula, independence, and correction for the number of trials.</x:v>
      </x:c>
      <x:c r="I10" s="127"/>
      <x:c r="J10" s="127"/>
      <x:c r="K10" s="127"/>
      <x:c r="L10" s="127"/>
      <x:c r="M10" s="127"/>
      <x:c r="N10" s="127"/>
      <x:c r="O10" s="127"/>
      <x:c r="P10" s="127"/>
    </x:row>
    <x:row r="11">
      <x:c r="A11" s="135" t="str">
        <x:v>Scan end [°]</x:v>
      </x:c>
      <x:c r="B11" s="139" t="n">
        <x:v>51.9</x:v>
      </x:c>
      <x:c r="C11" s="135"/>
      <x:c r="D11" s="135"/>
      <x:c r="E11" s="135"/>
      <x:c r="F11" s="135"/>
      <x:c r="G11" s="135"/>
      <x:c r="H11" s="135"/>
      <x:c r="I11" s="127"/>
      <x:c r="J11" s="127"/>
      <x:c r="K11" s="127"/>
      <x:c r="L11" s="127"/>
      <x:c r="M11" s="127"/>
      <x:c r="N11" s="127"/>
      <x:c r="O11" s="127"/>
      <x:c r="P11" s="127"/>
    </x:row>
    <x:row r="12">
      <x:c r="A12" s="135" t="str">
        <x:v>Scan step [°]</x:v>
      </x:c>
      <x:c r="B12" s="139" t="n">
        <x:v>0.0005</x:v>
      </x:c>
      <x:c r="C12" s="135"/>
      <x:c r="D12" s="135"/>
      <x:c r="E12" s="135"/>
      <x:c r="F12" s="135"/>
      <x:c r="G12" s="135"/>
      <x:c r="H12" s="135"/>
      <x:c r="I12" s="127"/>
      <x:c r="J12" s="127"/>
      <x:c r="K12" s="127"/>
      <x:c r="L12" s="127"/>
      <x:c r="M12" s="127"/>
      <x:c r="N12" s="127"/>
      <x:c r="O12" s="127"/>
      <x:c r="P12" s="127"/>
    </x:row>
    <x:row r="13">
      <x:c r="A13" s="141" t="str">
        <x:v>Fraction-simplicity scale</x:v>
      </x:c>
      <x:c r="B13" s="142" t="n">
        <x:v>0.0001</x:v>
      </x:c>
      <x:c r="C13" s="141"/>
      <x:c r="D13" s="141"/>
      <x:c r="E13" s="141"/>
      <x:c r="F13" s="141"/>
      <x:c r="G13" s="141"/>
      <x:c r="H13" s="141"/>
      <x:c r="I13" s="127"/>
      <x:c r="J13" s="127"/>
      <x:c r="K13" s="127"/>
      <x:c r="L13" s="127"/>
      <x:c r="M13" s="127"/>
      <x:c r="N13" s="127"/>
      <x:c r="O13" s="127"/>
      <x:c r="P13" s="127"/>
    </x:row>
    <x:row r="14">
      <x:c r="A14" s="127"/>
      <x:c r="B14" s="127"/>
      <x:c r="C14" s="127"/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7"/>
      <x:c r="O14" s="127"/>
      <x:c r="P14" s="127"/>
    </x:row>
    <x:row r="15">
      <x:c r="A15" s="143" t="str">
        <x:v>KEY RESULTS</x:v>
      </x:c>
      <x:c r="B15" s="144"/>
      <x:c r="C15" s="144"/>
      <x:c r="D15" s="144"/>
      <x:c r="E15" s="144"/>
      <x:c r="F15" s="144"/>
      <x:c r="G15" s="144"/>
      <x:c r="H15" s="144"/>
      <x:c r="I15" s="144"/>
      <x:c r="J15" s="144"/>
      <x:c r="K15" s="144"/>
      <x:c r="L15" s="144"/>
      <x:c r="M15" s="144"/>
      <x:c r="N15" s="144"/>
      <x:c r="O15" s="144"/>
      <x:c r="P15" s="145"/>
    </x:row>
    <x:row r="16">
      <x:c r="A16" s="146" t="str">
        <x:v>11:7 angle</x:v>
      </x:c>
      <x:c r="B16" s="127"/>
      <x:c r="C16" s="127"/>
      <x:c r="D16" s="127"/>
      <x:c r="E16" s="146" t="str">
        <x:v>Constants within tolerance</x:v>
      </x:c>
      <x:c r="F16" s="127"/>
      <x:c r="G16" s="127"/>
      <x:c r="H16" s="127"/>
      <x:c r="I16" s="146" t="str">
        <x:v>Minimum mean error</x:v>
      </x:c>
      <x:c r="J16" s="127"/>
      <x:c r="K16" s="127"/>
      <x:c r="L16" s="127"/>
      <x:c r="M16" s="146" t="str">
        <x:v>Minimax</x:v>
      </x:c>
      <x:c r="N16" s="127"/>
      <x:c r="O16" s="127"/>
      <x:c r="P16" s="127"/>
    </x:row>
    <x:row r="17">
      <x:c r="A17" s="147" t="n">
        <x:f>'01_Models'!E7</x:f>
        <x:v>51.84277341263095</x:v>
      </x:c>
      <x:c r="B17" s="127"/>
      <x:c r="C17" s="127"/>
      <x:c r="D17" s="127"/>
      <x:c r="E17" s="422" t="n">
        <x:f>'03_12_Errors'!AF7</x:f>
        <x:v>12</x:v>
      </x:c>
      <x:c r="F17" s="423"/>
      <x:c r="G17" s="423"/>
      <x:c r="H17" s="423"/>
      <x:c r="I17" s="147" t="n">
        <x:f>'08_Attractors'!B24</x:f>
        <x:v>51.85050000000034</x:v>
      </x:c>
      <x:c r="J17" s="127"/>
      <x:c r="K17" s="127"/>
      <x:c r="L17" s="127"/>
      <x:c r="M17" s="147" t="n">
        <x:f>'08_Attractors'!B27</x:f>
        <x:v>51.84500000000031</x:v>
      </x:c>
      <x:c r="N17" s="127"/>
      <x:c r="O17" s="127"/>
      <x:c r="P17" s="127"/>
    </x:row>
    <x:row r="18">
      <x:c r="A18" s="127"/>
      <x:c r="B18" s="127"/>
      <x:c r="C18" s="127"/>
      <x:c r="D18" s="127"/>
      <x:c r="E18" s="423"/>
      <x:c r="F18" s="423"/>
      <x:c r="G18" s="423"/>
      <x:c r="H18" s="423"/>
      <x:c r="I18" s="127"/>
      <x:c r="J18" s="127"/>
      <x:c r="K18" s="127"/>
      <x:c r="L18" s="127"/>
      <x:c r="M18" s="127"/>
      <x:c r="N18" s="127"/>
      <x:c r="O18" s="127"/>
      <x:c r="P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</x:row>
    <x:row r="20" ht="32" customHeight="1">
      <x:c r="A20" s="149" t="str">
        <x:v>Working conclusion: 11:7 remains a simple construction model. Golden Φ Egg no longer uses the rounded 51.84° angle: at Z0=7.65, the exact condition L/W=φ for z=1/r gives αp=51.795319256°. This angle drives B/H, pyramid height, and every constant error. The 51.84° cone remains a separate comparison model.</x:v>
      </x:c>
      <x:c r="B20" s="127"/>
      <x:c r="C20" s="127"/>
      <x:c r="D20" s="127"/>
      <x:c r="E20" s="127"/>
      <x:c r="F20" s="127"/>
      <x:c r="G20" s="127"/>
      <x:c r="H20" s="127"/>
      <x:c r="I20" s="127"/>
      <x:c r="J20" s="129" t="str">
        <x:v>Model</x:v>
      </x:c>
      <x:c r="K20" s="150" t="str">
        <x:v>Angle [°]</x:v>
      </x:c>
      <x:c r="L20" s="150" t="str">
        <x:v>Independent error</x:v>
      </x:c>
      <x:c r="M20" s="150" t="str">
        <x:v>Max. error</x:v>
      </x:c>
      <x:c r="N20" s="150" t="str">
        <x:v>Matches</x:v>
      </x:c>
      <x:c r="O20" s="130" t="str">
        <x:v>Combined score</x:v>
      </x:c>
      <x:c r="P20" s="127"/>
    </x:row>
    <x:row r="21" ht="28" customHeight="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31" t="str">
        <x:f>'04_Consensus'!A6</x:f>
        <x:v>Exact φ</x:v>
      </x:c>
      <x:c r="K21" s="560" t="n">
        <x:f>'04_Consensus'!B6</x:f>
        <x:v>51.827292372987756</x:v>
      </x:c>
      <x:c r="L21" s="152" t="n">
        <x:f>'04_Consensus'!D6</x:f>
        <x:v>0.00046599515775535427</x:v>
      </x:c>
      <x:c r="M21" s="152" t="n">
        <x:f>'04_Consensus'!F6</x:f>
        <x:v>0.001670838294189299</x:v>
      </x:c>
      <x:c r="N21" s="153" t="n">
        <x:f>'04_Consensus'!G6</x:f>
        <x:v>10</x:v>
      </x:c>
      <x:c r="O21" s="154" t="n">
        <x:f>'04_Consensus'!O6</x:f>
        <x:v>27.52652900290884</x:v>
      </x:c>
      <x:c r="P21" s="127"/>
    </x:row>
    <x:row r="22" ht="28" customHeight="1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35" t="str">
        <x:f>'04_Consensus'!A7</x:f>
        <x:v>11:7</x:v>
      </x:c>
      <x:c r="K22" s="561" t="n">
        <x:f>'04_Consensus'!B7</x:f>
        <x:v>51.84277341263095</x:v>
      </x:c>
      <x:c r="L22" s="156" t="n">
        <x:f>'04_Consensus'!D7</x:f>
        <x:v>0.00027194013223667937</x:v>
      </x:c>
      <x:c r="M22" s="156" t="n">
        <x:f>'04_Consensus'!F7</x:f>
        <x:v>0.0005574453529224948</x:v>
      </x:c>
      <x:c r="N22" s="157" t="n">
        <x:f>'04_Consensus'!G7</x:f>
        <x:v>12</x:v>
      </x:c>
      <x:c r="O22" s="158" t="n">
        <x:f>'04_Consensus'!O7</x:f>
        <x:v>83.69886116039899</x:v>
      </x:c>
      <x:c r="P22" s="127"/>
    </x:row>
    <x:row r="23" ht="28" customHeight="1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35" t="str">
        <x:f>'04_Consensus'!A8</x:f>
        <x:v>Mean 51.845°</x:v>
      </x:c>
      <x:c r="K23" s="561" t="n">
        <x:f>'04_Consensus'!B8</x:f>
        <x:v>51.845</x:v>
      </x:c>
      <x:c r="L23" s="156" t="n">
        <x:f>'04_Consensus'!D8</x:f>
        <x:v>0.0002452258769280901</x:v>
      </x:c>
      <x:c r="M23" s="156" t="n">
        <x:f>'04_Consensus'!F8</x:f>
        <x:v>0.0003972353641383019</x:v>
      </x:c>
      <x:c r="N23" s="157" t="n">
        <x:f>'04_Consensus'!G8</x:f>
        <x:v>12</x:v>
      </x:c>
      <x:c r="O23" s="158" t="n">
        <x:f>'04_Consensus'!O8</x:f>
        <x:v>75.7238489415979</x:v>
      </x:c>
      <x:c r="P23" s="127"/>
    </x:row>
    <x:row r="24" ht="28" customHeight="1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35" t="str">
        <x:f>'04_Consensus'!A9</x:f>
        <x:v>Petrie–Lehner–Cole 51.8504°</x:v>
      </x:c>
      <x:c r="K24" s="561" t="n">
        <x:f>'04_Consensus'!B9</x:f>
        <x:v>51.8504</x:v>
      </x:c>
      <x:c r="L24" s="156" t="n">
        <x:f>'04_Consensus'!D9</x:f>
        <x:v>0.0001822218467113544</x:v>
      </x:c>
      <x:c r="M24" s="156" t="n">
        <x:f>'04_Consensus'!F9</x:f>
        <x:v>0.0005133555455791237</x:v>
      </x:c>
      <x:c r="N24" s="157" t="n">
        <x:f>'04_Consensus'!G9</x:f>
        <x:v>12</x:v>
      </x:c>
      <x:c r="O24" s="158" t="n">
        <x:f>'04_Consensus'!O9</x:f>
        <x:v>58.87245839711219</x:v>
      </x:c>
      <x:c r="P24" s="127"/>
    </x:row>
    <x:row r="25" ht="28" customHeight="1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35" t="str">
        <x:f>'04_Consensus'!A10</x:f>
        <x:v>Exact π</x:v>
      </x:c>
      <x:c r="K25" s="561" t="n">
        <x:f>'04_Consensus'!B10</x:f>
        <x:v>51.85397401277745</x:v>
      </x:c>
      <x:c r="L25" s="156" t="n">
        <x:f>'04_Consensus'!D10</x:f>
        <x:v>0.0002096002049684591</x:v>
      </x:c>
      <x:c r="M25" s="156" t="n">
        <x:f>'04_Consensus'!F10</x:f>
        <x:v>0.0005928168771530057</x:v>
      </x:c>
      <x:c r="N25" s="157" t="n">
        <x:f>'04_Consensus'!G10</x:f>
        <x:v>12</x:v>
      </x:c>
      <x:c r="O25" s="158" t="n">
        <x:f>'04_Consensus'!O10</x:f>
        <x:v>51.96241625738752</x:v>
      </x:c>
      <x:c r="P25" s="127"/>
    </x:row>
    <x:row r="26" ht="28" customHeight="1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546" t="str">
        <x:f>'04_Consensus'!A11</x:f>
        <x:v>Classical cone — generator 51.84°</x:v>
      </x:c>
      <x:c r="K26" s="523" t="n">
        <x:f>'04_Consensus'!B11</x:f>
        <x:v>51.84</x:v>
      </x:c>
      <x:c r="L26" s="525" t="n">
        <x:f>'04_Consensus'!D11</x:f>
        <x:v>0.00030521426054101275</x:v>
      </x:c>
      <x:c r="M26" s="525" t="n">
        <x:f>'04_Consensus'!F11</x:f>
        <x:v>0.0007569749979487195</x:v>
      </x:c>
      <x:c r="N26" s="547" t="n">
        <x:f>'04_Consensus'!G11</x:f>
        <x:v>12</x:v>
      </x:c>
      <x:c r="O26" s="557" t="n">
        <x:f>'04_Consensus'!O11</x:f>
        <x:v>65.48844749734367</x:v>
      </x:c>
      <x:c r="P26" s="127"/>
    </x:row>
    <x:row r="27" ht="28" customHeight="1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550" t="str">
        <x:f>'04_Consensus'!A12</x:f>
        <x:v>Golden Φ Egg — exact φ</x:v>
      </x:c>
      <x:c r="K27" s="535" t="n">
        <x:f>'04_Consensus'!B12</x:f>
        <x:v>51.79531925589765</x:v>
      </x:c>
      <x:c r="L27" s="536" t="n">
        <x:f>'04_Consensus'!D12</x:f>
        <x:v>0.0011983217216687619</x:v>
      </x:c>
      <x:c r="M27" s="536" t="n">
        <x:f>'04_Consensus'!F12</x:f>
        <x:v>0.003967481575852137</x:v>
      </x:c>
      <x:c r="N27" s="551" t="n">
        <x:f>'04_Consensus'!G12</x:f>
        <x:v>9</x:v>
      </x:c>
      <x:c r="O27" s="565" t="n">
        <x:f>'04_Consensus'!O12</x:f>
        <x:v>0.08589736084968398</x:v>
      </x:c>
      <x:c r="P27" s="127"/>
    </x:row>
    <x:row r="28" ht="28" customHeight="1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559" t="str">
        <x:f>'04_Consensus'!A13</x:f>
        <x:v>Custom ratio</x:v>
      </x:c>
      <x:c r="K28" s="562" t="n">
        <x:f>'04_Consensus'!B13</x:f>
        <x:v>51.86808632439829</x:v>
      </x:c>
      <x:c r="L28" s="563" t="n">
        <x:f>'04_Consensus'!D13</x:f>
        <x:v>0.0005183988605438973</x:v>
      </x:c>
      <x:c r="M28" s="563" t="n">
        <x:f>'04_Consensus'!F13</x:f>
        <x:v>0.0012650012436057894</x:v>
      </x:c>
      <x:c r="N28" s="564" t="n">
        <x:f>'04_Consensus'!G13</x:f>
        <x:v>11</x:v>
      </x:c>
      <x:c r="O28" s="566" t="n">
        <x:f>'04_Consensus'!O13</x:f>
        <x:v>23.15438669515832</x:v>
      </x:c>
      <x:c r="P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</x:row>
  </x:sheetData>
  <x:mergeCells>
    <x:mergeCell ref="A1:P2"/>
    <x:mergeCell ref="A3:P3"/>
    <x:mergeCell ref="A15:P15"/>
    <x:mergeCell ref="A16:D16"/>
    <x:mergeCell ref="A17:D18"/>
    <x:mergeCell ref="E16:H16"/>
    <x:mergeCell ref="E17:H18"/>
    <x:mergeCell ref="I16:L16"/>
    <x:mergeCell ref="I17:L18"/>
    <x:mergeCell ref="M16:P16"/>
    <x:mergeCell ref="M17:P18"/>
    <x:mergeCell ref="A20:H23"/>
  </x:mergeCells>
  <x:pageMargins left="0.7" right="0.7" top="0.75" bottom="0.75" header="0.3" footer="0.3"/>
  <x:drawing xmlns:r="http://schemas.openxmlformats.org/officeDocument/2006/relationships" r:id="R69fb51e004934a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" hidden="0" customWidth="1"/>
    <x:col min="3" max="3" width="30" hidden="0" customWidth="1"/>
    <x:col min="4" max="4" width="13" hidden="0" customWidth="1"/>
    <x:col min="5" max="5" width="15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3" hidden="0" customWidth="1"/>
    <x:col min="15" max="15" width="7" hidden="0" customWidth="1"/>
    <x:col min="16" max="16" width="7" hidden="0" customWidth="1"/>
    <x:col min="17" max="17" width="12" hidden="0" customWidth="1"/>
    <x:col min="18" max="18" width="14" hidden="0" customWidth="1"/>
    <x:col min="19" max="19" width="16" hidden="0" customWidth="1"/>
    <x:col min="20" max="20" width="13" hidden="0" customWidth="1"/>
    <x:col min="21" max="21" width="38" hidden="0" customWidth="1"/>
  </x:cols>
  <x:sheetData>
    <x:row r="1" ht="30" customHeight="1">
      <x:c r="A1" s="126" t="str">
        <x:v>Pyramid geometry models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  <x:c r="AG1" s="127"/>
      <x:c r="AH1" s="127"/>
      <x:c r="AI1" s="127"/>
      <x:c r="AJ1" s="127"/>
      <x:c r="AK1" s="127"/>
      <x:c r="AL1" s="127"/>
      <x:c r="AM1" s="127"/>
      <x:c r="AN1" s="127"/>
      <x:c r="AO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  <x:c r="AG2" s="127"/>
      <x:c r="AH2" s="127"/>
      <x:c r="AI2" s="127"/>
      <x:c r="AJ2" s="127"/>
      <x:c r="AK2" s="127"/>
      <x:c r="AL2" s="127"/>
      <x:c r="AM2" s="127"/>
      <x:c r="AN2" s="127"/>
      <x:c r="AO2" s="127"/>
    </x:row>
    <x:row r="3" ht="34" customHeight="1">
      <x:c r="A3" s="128" t="str">
        <x:v>Yellow cells are inputs. Linear dimensions follow from a single shape parameter, B/H; model scale does not affect dimensionless constants.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  <x:c r="AG3" s="127"/>
      <x:c r="AH3" s="127"/>
      <x:c r="AI3" s="127"/>
      <x:c r="AJ3" s="127"/>
      <x:c r="AK3" s="127"/>
      <x:c r="AL3" s="127"/>
      <x:c r="AM3" s="127"/>
      <x:c r="AN3" s="127"/>
      <x:c r="AO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  <x:c r="AE4" s="127"/>
      <x:c r="AF4" s="127"/>
      <x:c r="AG4" s="127"/>
      <x:c r="AH4" s="127"/>
      <x:c r="AI4" s="127"/>
      <x:c r="AJ4" s="127"/>
      <x:c r="AK4" s="127"/>
      <x:c r="AL4" s="127"/>
      <x:c r="AM4" s="127"/>
      <x:c r="AN4" s="127"/>
      <x:c r="AO4" s="127"/>
    </x:row>
    <x:row r="5" ht="32" customHeight="1">
      <x:c r="A5" s="129" t="str">
        <x:v>ID</x:v>
      </x:c>
      <x:c r="B5" s="150" t="str">
        <x:v>Model</x:v>
      </x:c>
      <x:c r="C5" s="150" t="str">
        <x:v>Basis of definition</x:v>
      </x:c>
      <x:c r="D5" s="150" t="str">
        <x:v>B/H</x:v>
      </x:c>
      <x:c r="E5" s="150" t="str">
        <x:v>Face slope angle [°]</x:v>
      </x:c>
      <x:c r="F5" s="150" t="str">
        <x:v>Base side B [mm]</x:v>
      </x:c>
      <x:c r="G5" s="150" t="str">
        <x:v>Height H [mm]</x:v>
      </x:c>
      <x:c r="H5" s="150" t="str">
        <x:v>Half-base A [mm]</x:v>
      </x:c>
      <x:c r="I5" s="150" t="str">
        <x:v>Base diagonal D [mm]</x:v>
      </x:c>
      <x:c r="J5" s="150" t="str">
        <x:v>Slant height S [mm]</x:v>
      </x:c>
      <x:c r="K5" s="150" t="str">
        <x:v>Lateral edge E [mm]</x:v>
      </x:c>
      <x:c r="L5" s="150" t="str">
        <x:v>Lateral area / B²</x:v>
      </x:c>
      <x:c r="M5" s="150" t="str">
        <x:v>Total area / B²</x:v>
      </x:c>
      <x:c r="N5" s="150" t="str">
        <x:v>V / B³</x:v>
      </x:c>
      <x:c r="O5" s="150" t="str">
        <x:v>p</x:v>
      </x:c>
      <x:c r="P5" s="150" t="str">
        <x:v>q</x:v>
      </x:c>
      <x:c r="Q5" s="150" t="str">
        <x:v>p/q</x:v>
      </x:c>
      <x:c r="R5" s="150" t="str">
        <x:v>Fraction error</x:v>
      </x:c>
      <x:c r="S5" s="150" t="str">
        <x:v>|Δ observed angle| [°]</x:v>
      </x:c>
      <x:c r="T5" s="150" t="str">
        <x:v>Seked [palms]</x:v>
      </x:c>
      <x:c r="U5" s="130" t="str">
        <x:v>Notes</x:v>
      </x:c>
      <x:c r="V5" s="127" t="n">
        <x:v>1</x:v>
      </x:c>
      <x:c r="W5" s="127" t="n">
        <x:v>2</x:v>
      </x:c>
      <x:c r="X5" s="127" t="n">
        <x:v>3</x:v>
      </x:c>
      <x:c r="Y5" s="127" t="n">
        <x:v>4</x:v>
      </x:c>
      <x:c r="Z5" s="127" t="n">
        <x:v>5</x:v>
      </x:c>
      <x:c r="AA5" s="127" t="n">
        <x:v>6</x:v>
      </x:c>
      <x:c r="AB5" s="127" t="n">
        <x:v>7</x:v>
      </x:c>
      <x:c r="AC5" s="127" t="n">
        <x:v>8</x:v>
      </x:c>
      <x:c r="AD5" s="127" t="n">
        <x:v>9</x:v>
      </x:c>
      <x:c r="AE5" s="127" t="n">
        <x:v>10</x:v>
      </x:c>
      <x:c r="AF5" s="127" t="n">
        <x:v>11</x:v>
      </x:c>
      <x:c r="AG5" s="127" t="n">
        <x:v>12</x:v>
      </x:c>
      <x:c r="AH5" s="127" t="n">
        <x:v>13</x:v>
      </x:c>
      <x:c r="AI5" s="127" t="n">
        <x:v>14</x:v>
      </x:c>
      <x:c r="AJ5" s="127" t="n">
        <x:v>15</x:v>
      </x:c>
      <x:c r="AK5" s="127" t="n">
        <x:v>16</x:v>
      </x:c>
      <x:c r="AL5" s="127" t="n">
        <x:v>17</x:v>
      </x:c>
      <x:c r="AM5" s="127" t="n">
        <x:v>18</x:v>
      </x:c>
      <x:c r="AN5" s="127" t="n">
        <x:v>19</x:v>
      </x:c>
      <x:c r="AO5" s="127" t="n">
        <x:v>20</x:v>
      </x:c>
    </x:row>
    <x:row r="6">
      <x:c r="A6" s="131" t="n">
        <x:v>1</x:v>
      </x:c>
      <x:c r="B6" s="131" t="str">
        <x:v>Exact φ</x:v>
      </x:c>
      <x:c r="C6" s="131" t="str">
        <x:v>H/A = √φ</x:v>
      </x:c>
      <x:c r="D6" s="355" t="n">
        <x:f>2/SQRT((1+SQRT(5))/2)</x:f>
        <x:v>1.5723027555148466</x:v>
      </x:c>
      <x:c r="E6" s="356" t="n">
        <x:f>DEGREES(ATAN(2/D6))</x:f>
        <x:v>51.827292372987756</x:v>
      </x:c>
      <x:c r="F6" s="357" t="n">
        <x:f>'00_Start'!$B$6</x:f>
        <x:v>72.0225</x:v>
      </x:c>
      <x:c r="G6" s="357" t="n">
        <x:f>F6/D6</x:f>
        <x:v>45.807017603563516</x:v>
      </x:c>
      <x:c r="H6" s="357" t="n">
        <x:f>F6/2</x:f>
        <x:v>36.01125</x:v>
      </x:c>
      <x:c r="I6" s="357" t="n">
        <x:f>F6*SQRT(2)</x:f>
        <x:v>101.85519629601623</x:v>
      </x:c>
      <x:c r="J6" s="357" t="n">
        <x:f>SQRT(G6^2+H6^2)</x:f>
        <x:v>58.26742647736965</x:v>
      </x:c>
      <x:c r="K6" s="357" t="n">
        <x:f>SQRT(G6^2+2*H6^2)</x:f>
        <x:v>68.4974679448677</x:v>
      </x:c>
      <x:c r="L6" s="355" t="n">
        <x:f>2*J6/F6</x:f>
        <x:v>1.6180339887498951</x:v>
      </x:c>
      <x:c r="M6" s="355" t="n">
        <x:f>1+L6</x:f>
        <x:v>2.618033988749895</x:v>
      </x:c>
      <x:c r="N6" s="355" t="n">
        <x:f>G6/(3*F6)</x:f>
        <x:v>0.2120032749190115</x:v>
      </x:c>
      <x:c r="O6" s="358" t="n">
        <x:f>ROUND(D6*P6,0)</x:f>
        <x:v>11</x:v>
      </x:c>
      <x:c r="P6" s="358" t="n">
        <x:f>INDEX($V$5:$AO$5,1,MATCH(MIN(V6:AO6),V6:AO6,0))</x:f>
        <x:v>7</x:v>
      </x:c>
      <x:c r="Q6" s="355" t="n">
        <x:f>O6/P6</x:f>
        <x:v>1.5714285714285714</x:v>
      </x:c>
      <x:c r="R6" s="359" t="n">
        <x:f>ABS(D6-Q6)/D6</x:f>
        <x:v>0.0005559896675172488</x:v>
      </x:c>
      <x:c r="S6" s="356" t="n">
        <x:f>ABS(E6-'00_Start'!$B$8)</x:f>
        <x:v>0.01670762701224504</x:v>
      </x:c>
      <x:c r="T6" s="357" t="n">
        <x:f>7*H6/G6</x:f>
        <x:v>5.503059644301962</x:v>
      </x:c>
      <x:c r="U6" s="131" t="str">
        <x:v>Ideal golden-ratio model.</x:v>
      </x:c>
      <x:c r="V6" s="127" t="n">
        <x:f>ABS($D6-ROUND($D6*1,0)/1)/$D6</x:f>
        <x:v>0.272019649514069</x:v>
      </x:c>
      <x:c r="W6" s="127" t="n">
        <x:f>ABS($D6-ROUND($D6*2,0)/2)/$D6</x:f>
        <x:v>0.04598526286444826</x:v>
      </x:c>
      <x:c r="X6" s="127" t="n">
        <x:f>ABS($D6-ROUND($D6*3,0)/3)/$D6</x:f>
        <x:v>0.06001637459505753</x:v>
      </x:c>
      <x:c r="Y6" s="127" t="n">
        <x:f>ABS($D6-ROUND($D6*4,0)/4)/$D6</x:f>
        <x:v>0.04598526286444826</x:v>
      </x:c>
      <x:c r="Z6" s="127" t="n">
        <x:f>ABS($D6-ROUND($D6*5,0)/5)/$D6</x:f>
        <x:v>0.017615719611255243</x:v>
      </x:c>
      <x:c r="AA6" s="127" t="n">
        <x:f>ABS($D6-ROUND($D6*6,0)/6)/$D6</x:f>
        <x:v>0.04598526286444826</x:v>
      </x:c>
      <x:c r="AB6" s="127" t="n">
        <x:f>ABS($D6-ROUND($D6*7,0)/7)/$D6</x:f>
        <x:v>0.0005559896675172488</x:v>
      </x:c>
      <x:c r="AC6" s="127" t="n">
        <x:f>ABS($D6-ROUND($D6*8,0)/8)/$D6</x:f>
        <x:v>0.03351596523018105</x:v>
      </x:c>
      <x:c r="AD6" s="127" t="n">
        <x:f>ABS($D6-ROUND($D6*9,0)/9)/$D6</x:f>
        <x:v>0.010651383711279666</x:v>
      </x:c>
      <x:c r="AE6" s="127" t="n">
        <x:f>ABS($D6-ROUND($D6*10,0)/10)/$D6</x:f>
        <x:v>0.017615719611255243</x:v>
      </x:c>
      <x:c r="AF6" s="127" t="n">
        <x:f>ABS($D6-ROUND($D6*11,0)/11)/$D6</x:f>
        <x:v>0.017075725375492175</x:v>
      </x:c>
      <x:c r="AG6" s="127" t="n">
        <x:f>ABS($D6-ROUND($D6*12,0)/12)/$D6</x:f>
        <x:v>0.007015555865304564</x:v>
      </x:c>
      <x:c r="AH6" s="127" t="n">
        <x:f>ABS($D6-ROUND($D6*13,0)/13)/$D6</x:f>
        <x:v>0.02152334652763919</x:v>
      </x:c>
      <x:c r="AI6" s="127" t="n">
        <x:f>ABS($D6-ROUND($D6*14,0)/14)/$D6</x:f>
        <x:v>0.0005559896675172488</x:v>
      </x:c>
      <x:c r="AJ6" s="127" t="n">
        <x:f>ABS($D6-ROUND($D6*15,0)/15)/$D6</x:f>
        <x:v>0.017615719611255243</x:v>
      </x:c>
      <x:c r="AK6" s="127" t="n">
        <x:f>ABS($D6-ROUND($D6*16,0)/16)/$D6</x:f>
        <x:v>0.006234648817133608</x:v>
      </x:c>
      <x:c r="AL6" s="127" t="n">
        <x:f>ABS($D6-ROUND($D6*17,0)/17)/$D6</x:f>
        <x:v>0.01013325108470178</x:v>
      </x:c>
      <x:c r="AM6" s="127" t="n">
        <x:f>ABS($D6-ROUND($D6*18,0)/18)/$D6</x:f>
        <x:v>0.010651383711279666</x:v>
      </x:c>
      <x:c r="AN6" s="127" t="n">
        <x:f>ABS($D6-ROUND($D6*19,0)/19)/$D6</x:f>
        <x:v>0.004226039090054474</x:v>
      </x:c>
      <x:c r="AO6" s="127" t="n">
        <x:f>ABS($D6-ROUND($D6*20,0)/20)/$D6</x:f>
        <x:v>0.014184771626596511</x:v>
      </x:c>
    </x:row>
    <x:row r="7">
      <x:c r="A7" s="360" t="n">
        <x:v>2</x:v>
      </x:c>
      <x:c r="B7" s="360" t="str">
        <x:v>11:7</x:v>
      </x:c>
      <x:c r="C7" s="360" t="str">
        <x:v>B:H = 11:7 (440:280)</x:v>
      </x:c>
      <x:c r="D7" s="361" t="n">
        <x:f>11/7</x:f>
        <x:v>1.5714285714285714</x:v>
      </x:c>
      <x:c r="E7" s="362" t="n">
        <x:f>DEGREES(ATAN(2/D7))</x:f>
        <x:v>51.84277341263095</x:v>
      </x:c>
      <x:c r="F7" s="363" t="n">
        <x:f>'00_Start'!$B$6</x:f>
        <x:v>72.0225</x:v>
      </x:c>
      <x:c r="G7" s="363" t="n">
        <x:f>F7/D7</x:f>
        <x:v>45.832499999999996</x:v>
      </x:c>
      <x:c r="H7" s="363" t="n">
        <x:f>F7/2</x:f>
        <x:v>36.01125</x:v>
      </x:c>
      <x:c r="I7" s="363" t="n">
        <x:f>F7*SQRT(2)</x:f>
        <x:v>101.85519629601623</x:v>
      </x:c>
      <x:c r="J7" s="363" t="n">
        <x:f>SQRT(G7^2+H7^2)</x:f>
        <x:v>58.28746162608644</x:v>
      </x:c>
      <x:c r="K7" s="363" t="n">
        <x:f>SQRT(G7^2+2*H7^2)</x:f>
        <x:v>68.51451166997397</x:v>
      </x:c>
      <x:c r="L7" s="361" t="n">
        <x:f>2*J7/F7</x:f>
        <x:v>1.618590346796805</x:v>
      </x:c>
      <x:c r="M7" s="361" t="n">
        <x:f>1+L7</x:f>
        <x:v>2.618590346796805</x:v>
      </x:c>
      <x:c r="N7" s="361" t="n">
        <x:f>G7/(3*F7)</x:f>
        <x:v>0.2121212121212121</x:v>
      </x:c>
      <x:c r="O7" s="360" t="n">
        <x:f>ROUND(D7*P7,0)</x:f>
        <x:v>11</x:v>
      </x:c>
      <x:c r="P7" s="360" t="n">
        <x:f>INDEX($V$5:$AO$5,1,MATCH(MIN(V7:AO7),V7:AO7,0))</x:f>
        <x:v>7</x:v>
      </x:c>
      <x:c r="Q7" s="361" t="n">
        <x:f>O7/P7</x:f>
        <x:v>1.5714285714285714</x:v>
      </x:c>
      <x:c r="R7" s="364" t="n">
        <x:f>ABS(D7-Q7)/D7</x:f>
        <x:v>0</x:v>
      </x:c>
      <x:c r="S7" s="362" t="n">
        <x:f>ABS(E7-'00_Start'!$B$8)</x:f>
        <x:v>0.0012265873690537887</x:v>
      </x:c>
      <x:c r="T7" s="363" t="n">
        <x:f>7*H7/G7</x:f>
        <x:v>5.5</x:v>
      </x:c>
      <x:c r="U7" s="360" t="str">
        <x:v>Simple fraction; angle 51.842773°; seked 5.5 palms.</x:v>
      </x:c>
      <x:c r="V7" s="127" t="n">
        <x:f>ABS($D7-ROUND($D7*1,0)/1)/$D7</x:f>
        <x:v>0.27272727272727276</x:v>
      </x:c>
      <x:c r="W7" s="127" t="n">
        <x:f>ABS($D7-ROUND($D7*2,0)/2)/$D7</x:f>
        <x:v>0.045454545454545435</x:v>
      </x:c>
      <x:c r="X7" s="127" t="n">
        <x:f>ABS($D7-ROUND($D7*3,0)/3)/$D7</x:f>
        <x:v>0.06060606060606068</x:v>
      </x:c>
      <x:c r="Y7" s="127" t="n">
        <x:f>ABS($D7-ROUND($D7*4,0)/4)/$D7</x:f>
        <x:v>0.045454545454545435</x:v>
      </x:c>
      <x:c r="Z7" s="127" t="n">
        <x:f>ABS($D7-ROUND($D7*5,0)/5)/$D7</x:f>
        <x:v>0.018181818181818257</x:v>
      </x:c>
      <x:c r="AA7" s="127" t="n">
        <x:f>ABS($D7-ROUND($D7*6,0)/6)/$D7</x:f>
        <x:v>0.045454545454545435</x:v>
      </x:c>
      <x:c r="AB7" s="127" t="n">
        <x:f>ABS($D7-ROUND($D7*7,0)/7)/$D7</x:f>
        <x:v>0</x:v>
      </x:c>
      <x:c r="AC7" s="127" t="n">
        <x:f>ABS($D7-ROUND($D7*8,0)/8)/$D7</x:f>
        <x:v>0.03409090909090911</x:v>
      </x:c>
      <x:c r="AD7" s="127" t="n">
        <x:f>ABS($D7-ROUND($D7*9,0)/9)/$D7</x:f>
        <x:v>0.010101010101010065</x:v>
      </x:c>
      <x:c r="AE7" s="127" t="n">
        <x:f>ABS($D7-ROUND($D7*10,0)/10)/$D7</x:f>
        <x:v>0.018181818181818257</x:v>
      </x:c>
      <x:c r="AF7" s="127" t="n">
        <x:f>ABS($D7-ROUND($D7*11,0)/11)/$D7</x:f>
        <x:v>0.016528925619834718</x:v>
      </x:c>
      <x:c r="AG7" s="127" t="n">
        <x:f>ABS($D7-ROUND($D7*12,0)/12)/$D7</x:f>
        <x:v>0.007575757575757549</x:v>
      </x:c>
      <x:c r="AH7" s="127" t="n">
        <x:f>ABS($D7-ROUND($D7*13,0)/13)/$D7</x:f>
        <x:v>0.020979020979020904</x:v>
      </x:c>
      <x:c r="AI7" s="127" t="n">
        <x:f>ABS($D7-ROUND($D7*14,0)/14)/$D7</x:f>
        <x:v>0</x:v>
      </x:c>
      <x:c r="AJ7" s="127" t="n">
        <x:f>ABS($D7-ROUND($D7*15,0)/15)/$D7</x:f>
        <x:v>0.018181818181818257</x:v>
      </x:c>
      <x:c r="AK7" s="127" t="n">
        <x:f>ABS($D7-ROUND($D7*16,0)/16)/$D7</x:f>
        <x:v>0.005681818181818162</x:v>
      </x:c>
      <x:c r="AL7" s="127" t="n">
        <x:f>ABS($D7-ROUND($D7*17,0)/17)/$D7</x:f>
        <x:v>0.010695187165775364</x:v>
      </x:c>
      <x:c r="AM7" s="127" t="n">
        <x:f>ABS($D7-ROUND($D7*18,0)/18)/$D7</x:f>
        <x:v>0.010101010101010065</x:v>
      </x:c>
      <x:c r="AN7" s="127" t="n">
        <x:f>ABS($D7-ROUND($D7*19,0)/19)/$D7</x:f>
        <x:v>0.004784688995215346</x:v>
      </x:c>
      <x:c r="AO7" s="127" t="n">
        <x:f>ABS($D7-ROUND($D7*20,0)/20)/$D7</x:f>
        <x:v>0.013636363636363589</x:v>
      </x:c>
    </x:row>
    <x:row r="8">
      <x:c r="A8" s="135" t="n">
        <x:v>3</x:v>
      </x:c>
      <x:c r="B8" s="135" t="str">
        <x:v>Mean 51.845°</x:v>
      </x:c>
      <x:c r="C8" s="135" t="str">
        <x:v>Angle used in the 12-constant analysis</x:v>
      </x:c>
      <x:c r="D8" s="365" t="n">
        <x:f>2/TAN(RADIANS(E8))</x:f>
        <x:v>1.5713028709199628</x:v>
      </x:c>
      <x:c r="E8" s="366" t="n">
        <x:v>51.845</x:v>
      </x:c>
      <x:c r="F8" s="367" t="n">
        <x:f>'00_Start'!$B$6</x:f>
        <x:v>72.0225</x:v>
      </x:c>
      <x:c r="G8" s="367" t="n">
        <x:f>F8/D8</x:f>
        <x:v>45.83616649146222</x:v>
      </x:c>
      <x:c r="H8" s="367" t="n">
        <x:f>F8/2</x:f>
        <x:v>36.01125</x:v>
      </x:c>
      <x:c r="I8" s="367" t="n">
        <x:f>F8*SQRT(2)</x:f>
        <x:v>101.85519629601623</x:v>
      </x:c>
      <x:c r="J8" s="367" t="n">
        <x:f>SQRT(G8^2+H8^2)</x:f>
        <x:v>58.29034469957734</x:v>
      </x:c>
      <x:c r="K8" s="367" t="n">
        <x:f>SQRT(G8^2+2*H8^2)</x:f>
        <x:v>68.51696440851742</x:v>
      </x:c>
      <x:c r="L8" s="365" t="n">
        <x:f>2*J8/F8</x:f>
        <x:v>1.618670407152691</x:v>
      </x:c>
      <x:c r="M8" s="365" t="n">
        <x:f>1+L8</x:f>
        <x:v>2.618670407152691</x:v>
      </x:c>
      <x:c r="N8" s="365" t="n">
        <x:f>G8/(3*F8)</x:f>
        <x:v>0.21213818131584908</x:v>
      </x:c>
      <x:c r="O8" s="368" t="n">
        <x:f>ROUND(D8*P8,0)</x:f>
        <x:v>11</x:v>
      </x:c>
      <x:c r="P8" s="368" t="n">
        <x:f>INDEX($V$5:$AO$5,1,MATCH(MIN(V8:AO8),V8:AO8,0))</x:f>
        <x:v>7</x:v>
      </x:c>
      <x:c r="Q8" s="365" t="n">
        <x:f>O8/P8</x:f>
        <x:v>1.5714285714285714</x:v>
      </x:c>
      <x:c r="R8" s="369" t="n">
        <x:f>ABS(D8-Q8)/D8</x:f>
        <x:v>0.00007999763186012077</x:v>
      </x:c>
      <x:c r="S8" s="370" t="n">
        <x:f>ABS(E8-'00_Start'!$B$8)</x:f>
        <x:v>0.0009999999999976694</x:v>
      </x:c>
      <x:c r="T8" s="367" t="n">
        <x:f>7*H8/G8</x:f>
        <x:v>5.4995600482198705</x:v>
      </x:c>
      <x:c r="U8" s="135" t="str">
        <x:v>Intermediate model used by the source website.</x:v>
      </x:c>
      <x:c r="V8" s="127" t="n">
        <x:f>ABS($D8-ROUND($D8*1,0)/1)/$D8</x:f>
        <x:v>0.27282908789509475</x:v>
      </x:c>
      <x:c r="W8" s="127" t="n">
        <x:f>ABS($D8-ROUND($D8*2,0)/2)/$D8</x:f>
        <x:v>0.045378184078678954</x:v>
      </x:c>
      <x:c r="X8" s="127" t="n">
        <x:f>ABS($D8-ROUND($D8*3,0)/3)/$D8</x:f>
        <x:v>0.060690906579245654</x:v>
      </x:c>
      <x:c r="Y8" s="127" t="n">
        <x:f>ABS($D8-ROUND($D8*4,0)/4)/$D8</x:f>
        <x:v>0.045378184078678954</x:v>
      </x:c>
      <x:c r="Z8" s="127" t="n">
        <x:f>ABS($D8-ROUND($D8*5,0)/5)/$D8</x:f>
        <x:v>0.018263270316075837</x:v>
      </x:c>
      <x:c r="AA8" s="127" t="n">
        <x:f>ABS($D8-ROUND($D8*6,0)/6)/$D8</x:f>
        <x:v>0.045378184078678954</x:v>
      </x:c>
      <x:c r="AB8" s="127" t="n">
        <x:f>ABS($D8-ROUND($D8*7,0)/7)/$D8</x:f>
        <x:v>0.00007999763186012077</x:v>
      </x:c>
      <x:c r="AC8" s="127" t="n">
        <x:f>ABS($D8-ROUND($D8*8,0)/8)/$D8</x:f>
        <x:v>0.03417363391476446</x:v>
      </x:c>
      <x:c r="AD8" s="127" t="n">
        <x:f>ABS($D8-ROUND($D8*9,0)/9)/$D8</x:f>
        <x:v>0.010021820526037421</x:v>
      </x:c>
      <x:c r="AE8" s="127" t="n">
        <x:f>ABS($D8-ROUND($D8*10,0)/10)/$D8</x:f>
        <x:v>0.018263270316075837</x:v>
      </x:c>
      <x:c r="AF8" s="127" t="n">
        <x:f>ABS($D8-ROUND($D8*11,0)/11)/$D8</x:f>
        <x:v>0.016450250262881376</x:v>
      </x:c>
      <x:c r="AG8" s="127" t="n">
        <x:f>ABS($D8-ROUND($D8*12,0)/12)/$D8</x:f>
        <x:v>0.007656361250283277</x:v>
      </x:c>
      <x:c r="AH8" s="127" t="n">
        <x:f>ABS($D8-ROUND($D8*13,0)/13)/$D8</x:f>
        <x:v>0.02090070161915785</x:v>
      </x:c>
      <x:c r="AI8" s="127" t="n">
        <x:f>ABS($D8-ROUND($D8*14,0)/14)/$D8</x:f>
        <x:v>0.00007999763186012077</x:v>
      </x:c>
      <x:c r="AJ8" s="127" t="n">
        <x:f>ABS($D8-ROUND($D8*15,0)/15)/$D8</x:f>
        <x:v>0.018263270316075837</x:v>
      </x:c>
      <x:c r="AK8" s="127" t="n">
        <x:f>ABS($D8-ROUND($D8*16,0)/16)/$D8</x:f>
        <x:v>0.005602275081957246</x:v>
      </x:c>
      <x:c r="AL8" s="127" t="n">
        <x:f>ABS($D8-ROUND($D8*17,0)/17)/$D8</x:f>
        <x:v>0.010776040387281046</x:v>
      </x:c>
      <x:c r="AM8" s="127" t="n">
        <x:f>ABS($D8-ROUND($D8*18,0)/18)/$D8</x:f>
        <x:v>0.010021820526037421</x:v>
      </x:c>
      <x:c r="AN8" s="127" t="n">
        <x:f>ABS($D8-ROUND($D8*19,0)/19)/$D8</x:f>
        <x:v>0.004865069390864271</x:v>
      </x:c>
      <x:c r="AO8" s="127" t="n">
        <x:f>ABS($D8-ROUND($D8*20,0)/20)/$D8</x:f>
        <x:v>0.01355745688130156</x:v>
      </x:c>
    </x:row>
    <x:row r="9">
      <x:c r="A9" s="135" t="n">
        <x:v>4</x:v>
      </x:c>
      <x:c r="B9" s="135" t="str">
        <x:v>Petrie–Lehner–Cole 51.8504°</x:v>
      </x:c>
      <x:c r="C9" s="135" t="str">
        <x:v>Mean used for e</x:v>
      </x:c>
      <x:c r="D9" s="365" t="n">
        <x:f>2/TAN(RADIANS(E9))</x:f>
        <x:v>1.5709980493901357</x:v>
      </x:c>
      <x:c r="E9" s="366" t="n">
        <x:v>51.8504</x:v>
      </x:c>
      <x:c r="F9" s="367" t="n">
        <x:f>'00_Start'!$B$6</x:f>
        <x:v>72.0225</x:v>
      </x:c>
      <x:c r="G9" s="367" t="n">
        <x:f>F9/D9</x:f>
        <x:v>45.84506010555472</x:v>
      </x:c>
      <x:c r="H9" s="367" t="n">
        <x:f>F9/2</x:f>
        <x:v>36.01125</x:v>
      </x:c>
      <x:c r="I9" s="367" t="n">
        <x:f>F9*SQRT(2)</x:f>
        <x:v>101.85519629601623</x:v>
      </x:c>
      <x:c r="J9" s="367" t="n">
        <x:f>SQRT(G9^2+H9^2)</x:f>
        <x:v>58.29733838387843</x:v>
      </x:c>
      <x:c r="K9" s="367" t="n">
        <x:f>SQRT(G9^2+2*H9^2)</x:f>
        <x:v>68.52291433678901</x:v>
      </x:c>
      <x:c r="L9" s="365" t="n">
        <x:f>2*J9/F9</x:f>
        <x:v>1.6188646154709552</x:v>
      </x:c>
      <x:c r="M9" s="365" t="n">
        <x:f>1+L9</x:f>
        <x:v>2.6188646154709554</x:v>
      </x:c>
      <x:c r="N9" s="365" t="n">
        <x:f>G9/(3*F9)</x:f>
        <x:v>0.21217934259226734</x:v>
      </x:c>
      <x:c r="O9" s="368" t="n">
        <x:f>ROUND(D9*P9,0)</x:f>
        <x:v>11</x:v>
      </x:c>
      <x:c r="P9" s="368" t="n">
        <x:f>INDEX($V$5:$AO$5,1,MATCH(MIN(V9:AO9),V9:AO9,0))</x:f>
        <x:v>7</x:v>
      </x:c>
      <x:c r="Q9" s="365" t="n">
        <x:f>O9/P9</x:f>
        <x:v>1.5714285714285714</x:v>
      </x:c>
      <x:c r="R9" s="369" t="n">
        <x:f>ABS(D9-Q9)/D9</x:f>
        <x:v>0.00027404364926033665</x:v>
      </x:c>
      <x:c r="S9" s="370" t="n">
        <x:f>ABS(E9-'00_Start'!$B$8)</x:f>
        <x:v>0.006399999999999295</x:v>
      </x:c>
      <x:c r="T9" s="367" t="n">
        <x:f>7*H9/G9</x:f>
        <x:v>5.498493172865475</x:v>
      </x:c>
      <x:c r="U9" s="135" t="str">
        <x:v>Very strong for the angular formula for e.</x:v>
      </x:c>
      <x:c r="V9" s="127" t="n">
        <x:f>ABS($D9-ROUND($D9*1,0)/1)/$D9</x:f>
        <x:v>0.2730760555536041</x:v>
      </x:c>
      <x:c r="W9" s="127" t="n">
        <x:f>ABS($D9-ROUND($D9*2,0)/2)/$D9</x:f>
        <x:v>0.04519295833479693</x:v>
      </x:c>
      <x:c r="X9" s="127" t="n">
        <x:f>ABS($D9-ROUND($D9*3,0)/3)/$D9</x:f>
        <x:v>0.06089671296133679</x:v>
      </x:c>
      <x:c r="Y9" s="127" t="n">
        <x:f>ABS($D9-ROUND($D9*4,0)/4)/$D9</x:f>
        <x:v>0.04519295833479693</x:v>
      </x:c>
      <x:c r="Z9" s="127" t="n">
        <x:f>ABS($D9-ROUND($D9*5,0)/5)/$D9</x:f>
        <x:v>0.018460844442883328</x:v>
      </x:c>
      <x:c r="AA9" s="127" t="n">
        <x:f>ABS($D9-ROUND($D9*6,0)/6)/$D9</x:f>
        <x:v>0.04519295833479693</x:v>
      </x:c>
      <x:c r="AB9" s="127" t="n">
        <x:f>ABS($D9-ROUND($D9*7,0)/7)/$D9</x:f>
        <x:v>0.00027404364926033665</x:v>
      </x:c>
      <x:c r="AC9" s="127" t="n">
        <x:f>ABS($D9-ROUND($D9*8,0)/8)/$D9</x:f>
        <x:v>0.03437429513730332</x:v>
      </x:c>
      <x:c r="AD9" s="127" t="n">
        <x:f>ABS($D9-ROUND($D9*9,0)/9)/$D9</x:f>
        <x:v>0.009829734569419026</x:v>
      </x:c>
      <x:c r="AE9" s="127" t="n">
        <x:f>ABS($D9-ROUND($D9*10,0)/10)/$D9</x:f>
        <x:v>0.018460844442883328</x:v>
      </x:c>
      <x:c r="AF9" s="127" t="n">
        <x:f>ABS($D9-ROUND($D9*11,0)/11)/$D9</x:f>
        <x:v>0.01625941161766959</x:v>
      </x:c>
      <x:c r="AG9" s="127" t="n">
        <x:f>ABS($D9-ROUND($D9*12,0)/12)/$D9</x:f>
        <x:v>0.007851877313269858</x:v>
      </x:c>
      <x:c r="AH9" s="127" t="n">
        <x:f>ABS($D9-ROUND($D9*13,0)/13)/$D9</x:f>
        <x:v>0.020710726497227567</x:v>
      </x:c>
      <x:c r="AI9" s="127" t="n">
        <x:f>ABS($D9-ROUND($D9*14,0)/14)/$D9</x:f>
        <x:v>0.00027404364926033665</x:v>
      </x:c>
      <x:c r="AJ9" s="127" t="n">
        <x:f>ABS($D9-ROUND($D9*15,0)/15)/$D9</x:f>
        <x:v>0.018460844442883328</x:v>
      </x:c>
      <x:c r="AK9" s="127" t="n">
        <x:f>ABS($D9-ROUND($D9*16,0)/16)/$D9</x:f>
        <x:v>0.005409331598746805</x:v>
      </x:c>
      <x:c r="AL9" s="127" t="n">
        <x:f>ABS($D9-ROUND($D9*17,0)/17)/$D9</x:f>
        <x:v>0.010972161763156131</x:v>
      </x:c>
      <x:c r="AM9" s="127" t="n">
        <x:f>ABS($D9-ROUND($D9*18,0)/18)/$D9</x:f>
        <x:v>0.009829734569419026</x:v>
      </x:c>
      <x:c r="AN9" s="127" t="n">
        <x:f>ABS($D9-ROUND($D9*19,0)/19)/$D9</x:f>
        <x:v>0.005060043858108507</x:v>
      </x:c>
      <x:c r="AO9" s="127" t="n">
        <x:f>ABS($D9-ROUND($D9*20,0)/20)/$D9</x:f>
        <x:v>0.013366056945956802</x:v>
      </x:c>
    </x:row>
    <x:row r="10">
      <x:c r="A10" s="135" t="n">
        <x:v>5</x:v>
      </x:c>
      <x:c r="B10" s="135" t="str">
        <x:v>Exact π</x:v>
      </x:c>
      <x:c r="C10" s="135" t="str">
        <x:v>H/A = 4/π</x:v>
      </x:c>
      <x:c r="D10" s="365" t="n">
        <x:f>PI()/2</x:f>
        <x:v>1.5707963267948966</x:v>
      </x:c>
      <x:c r="E10" s="370" t="n">
        <x:f>DEGREES(ATAN(2/D10))</x:f>
        <x:v>51.85397401277745</x:v>
      </x:c>
      <x:c r="F10" s="367" t="n">
        <x:f>'00_Start'!$B$6</x:f>
        <x:v>72.0225</x:v>
      </x:c>
      <x:c r="G10" s="367" t="n">
        <x:f>F10/D10</x:f>
        <x:v>45.85094755534413</x:v>
      </x:c>
      <x:c r="H10" s="367" t="n">
        <x:f>F10/2</x:f>
        <x:v>36.01125</x:v>
      </x:c>
      <x:c r="I10" s="367" t="n">
        <x:f>F10*SQRT(2)</x:f>
        <x:v>101.85519629601623</x:v>
      </x:c>
      <x:c r="J10" s="367" t="n">
        <x:f>SQRT(G10^2+H10^2)</x:f>
        <x:v>58.3019683911737</x:v>
      </x:c>
      <x:c r="K10" s="367" t="n">
        <x:f>SQRT(G10^2+2*H10^2)</x:f>
        <x:v>68.5268534579541</x:v>
      </x:c>
      <x:c r="L10" s="365" t="n">
        <x:f>2*J10/F10</x:f>
        <x:v>1.618993186606233</x:v>
      </x:c>
      <x:c r="M10" s="365" t="n">
        <x:f>1+L10</x:f>
        <x:v>2.6189931866062333</x:v>
      </x:c>
      <x:c r="N10" s="365" t="n">
        <x:f>G10/(3*F10)</x:f>
        <x:v>0.2122065907891938</x:v>
      </x:c>
      <x:c r="O10" s="368" t="n">
        <x:f>ROUND(D10*P10,0)</x:f>
        <x:v>11</x:v>
      </x:c>
      <x:c r="P10" s="368" t="n">
        <x:f>INDEX($V$5:$AO$5,1,MATCH(MIN(V10:AO10),V10:AO10,0))</x:f>
        <x:v>7</x:v>
      </x:c>
      <x:c r="Q10" s="365" t="n">
        <x:f>O10/P10</x:f>
        <x:v>1.5714285714285714</x:v>
      </x:c>
      <x:c r="R10" s="369" t="n">
        <x:f>ABS(D10-Q10)/D10</x:f>
        <x:v>0.0004024994347707008</x:v>
      </x:c>
      <x:c r="S10" s="370" t="n">
        <x:f>ABS(E10-'00_Start'!$B$8)</x:f>
        <x:v>0.009974012777448138</x:v>
      </x:c>
      <x:c r="T10" s="367" t="n">
        <x:f>7*H10/G10</x:f>
        <x:v>5.497787143782138</x:v>
      </x:c>
      <x:c r="U10" s="135" t="str">
        <x:v>Base perimeter / height = 2π.</x:v>
      </x:c>
      <x:c r="V10" s="127" t="n">
        <x:f>ABS($D10-ROUND($D10*1,0)/1)/$D10</x:f>
        <x:v>0.2732395447351627</x:v>
      </x:c>
      <x:c r="W10" s="127" t="n">
        <x:f>ABS($D10-ROUND($D10*2,0)/2)/$D10</x:f>
        <x:v>0.04507034144862795</x:v>
      </x:c>
      <x:c r="X10" s="127" t="n">
        <x:f>ABS($D10-ROUND($D10*3,0)/3)/$D10</x:f>
        <x:v>0.06103295394596899</x:v>
      </x:c>
      <x:c r="Y10" s="127" t="n">
        <x:f>ABS($D10-ROUND($D10*4,0)/4)/$D10</x:f>
        <x:v>0.04507034144862795</x:v>
      </x:c>
      <x:c r="Z10" s="127" t="n">
        <x:f>ABS($D10-ROUND($D10*5,0)/5)/$D10</x:f>
        <x:v>0.018591635788130244</x:v>
      </x:c>
      <x:c r="AA10" s="127" t="n">
        <x:f>ABS($D10-ROUND($D10*6,0)/6)/$D10</x:f>
        <x:v>0.04507034144862795</x:v>
      </x:c>
      <x:c r="AB10" s="127" t="n">
        <x:f>ABS($D10-ROUND($D10*7,0)/7)/$D10</x:f>
        <x:v>0.0004024994347707008</x:v>
      </x:c>
      <x:c r="AC10" s="127" t="n">
        <x:f>ABS($D10-ROUND($D10*8,0)/8)/$D10</x:f>
        <x:v>0.034507130097319726</x:v>
      </x:c>
      <x:c r="AD10" s="127" t="n">
        <x:f>ABS($D10-ROUND($D10*9,0)/9)/$D10</x:f>
        <x:v>0.009702576317095634</x:v>
      </x:c>
      <x:c r="AE10" s="127" t="n">
        <x:f>ABS($D10-ROUND($D10*10,0)/10)/$D10</x:f>
        <x:v>0.018591635788130244</x:v>
      </x:c>
      <x:c r="AF10" s="127" t="n">
        <x:f>ABS($D10-ROUND($D10*11,0)/11)/$D10</x:f>
        <x:v>0.016133079068283367</x:v>
      </x:c>
      <x:c r="AG10" s="127" t="n">
        <x:f>ABS($D10-ROUND($D10*12,0)/12)/$D10</x:f>
        <x:v>0.007981306248670453</x:v>
      </x:c>
      <x:c r="AH10" s="127" t="n">
        <x:f>ABS($D10-ROUND($D10*13,0)/13)/$D10</x:f>
        <x:v>0.020584965588336303</x:v>
      </x:c>
      <x:c r="AI10" s="127" t="n">
        <x:f>ABS($D10-ROUND($D10*14,0)/14)/$D10</x:f>
        <x:v>0.0004024994347707008</x:v>
      </x:c>
      <x:c r="AJ10" s="127" t="n">
        <x:f>ABS($D10-ROUND($D10*15,0)/15)/$D10</x:f>
        <x:v>0.018591635788130244</x:v>
      </x:c>
      <x:c r="AK10" s="127" t="n">
        <x:f>ABS($D10-ROUND($D10*16,0)/16)/$D10</x:f>
        <x:v>0.0052816056756541125</x:v>
      </x:c>
      <x:c r="AL10" s="127" t="n">
        <x:f>ABS($D10-ROUND($D10*17,0)/17)/$D10</x:f>
        <x:v>0.011101991407335055</x:v>
      </x:c>
      <x:c r="AM10" s="127" t="n">
        <x:f>ABS($D10-ROUND($D10*18,0)/18)/$D10</x:f>
        <x:v>0.009702576317095634</x:v>
      </x:c>
      <x:c r="AN10" s="127" t="n">
        <x:f>ABS($D10-ROUND($D10*19,0)/19)/$D10</x:f>
        <x:v>0.005189114264602175</x:v>
      </x:c>
      <x:c r="AO10" s="127" t="n">
        <x:f>ABS($D10-ROUND($D10*20,0)/20)/$D10</x:f>
        <x:v>0.013239352830248852</x:v>
      </x:c>
    </x:row>
    <x:row r="11" ht="46" customHeight="1">
      <x:c r="A11" s="522" t="n">
        <x:v>6</x:v>
      </x:c>
      <x:c r="B11" s="522" t="str">
        <x:v>Classical cone — generator 51.84°</x:v>
      </x:c>
      <x:c r="C11" s="522" t="str">
        <x:v>Constant straight generator αg=51.84° relative to base</x:v>
      </x:c>
      <x:c r="D11" s="516" t="n">
        <x:f>2/TAN(RADIANS('11_Golden_Egg'!$B11))</x:f>
        <x:v>1.571585153329536</x:v>
      </x:c>
      <x:c r="E11" s="523" t="n">
        <x:f>DEGREES(ATAN(2/D11))</x:f>
        <x:v>51.84</x:v>
      </x:c>
      <x:c r="F11" s="524" t="n">
        <x:f>'00_Start'!$B$6</x:f>
        <x:v>72.0225</x:v>
      </x:c>
      <x:c r="G11" s="524" t="n">
        <x:f>F11/D11</x:f>
        <x:v>45.827933565937705</x:v>
      </x:c>
      <x:c r="H11" s="524" t="n">
        <x:f>F11/2</x:f>
        <x:v>36.01125</x:v>
      </x:c>
      <x:c r="I11" s="524" t="n">
        <x:f>F11*SQRT(2)</x:f>
        <x:v>101.85519629601623</x:v>
      </x:c>
      <x:c r="J11" s="524" t="n">
        <x:f>SQRT(G11^2+H11^2)</x:f>
        <x:v>58.28387102352159</x:v>
      </x:c>
      <x:c r="K11" s="524" t="n">
        <x:f>SQRT(G11^2+2*H11^2)</x:f>
        <x:v>68.51145705682372</x:v>
      </x:c>
      <x:c r="L11" s="524" t="n">
        <x:f>2*J11/F11</x:f>
        <x:v>1.6184906389953584</x:v>
      </x:c>
      <x:c r="M11" s="524" t="n">
        <x:f>1+L11</x:f>
        <x:v>2.6184906389953584</x:v>
      </x:c>
      <x:c r="N11" s="524" t="n">
        <x:f>G11/(3*F11)</x:f>
        <x:v>0.21210007782724244</x:v>
      </x:c>
      <x:c r="O11" s="524" t="n">
        <x:f>ROUND(D11*P11,0)</x:f>
        <x:v>11</x:v>
      </x:c>
      <x:c r="P11" s="524" t="n">
        <x:f>INDEX($V$5:$AO$5,1,MATCH(MIN(V11:AO11),V11:AO11,0))</x:f>
        <x:v>7</x:v>
      </x:c>
      <x:c r="Q11" s="524" t="n">
        <x:f>O11/P11</x:f>
        <x:v>1.5714285714285714</x:v>
      </x:c>
      <x:c r="R11" s="525" t="n">
        <x:f>ABS(D11-Q11)/D11</x:f>
        <x:v>0.00009963310014276841</x:v>
      </x:c>
      <x:c r="S11" s="523" t="n">
        <x:f>ABS(E11-'00_Start'!$B$8)</x:f>
        <x:v>0.003999999999997783</x:v>
      </x:c>
      <x:c r="T11" s="526" t="n">
        <x:f>7*H11/G11</x:f>
        <x:v>5.500548036653376</x:v>
      </x:c>
      <x:c r="U11" s="522" t="str">
        <x:v>Separate cone model with a directly prescribed angle; it does not define the exact Golden Egg.</x:v>
      </x:c>
      <x:c r="V11" s="527" t="n">
        <x:f>ABS($D11-ROUND($D11*1,0)/1)/$D11</x:f>
        <x:v>0.2726004669634547</x:v>
      </x:c>
      <x:c r="W11" s="527" t="n">
        <x:f>ABS($D11-ROUND($D11*2,0)/2)/$D11</x:f>
        <x:v>0.04554964977740899</x:v>
      </x:c>
      <x:c r="X11" s="527" t="n">
        <x:f>ABS($D11-ROUND($D11*3,0)/3)/$D11</x:f>
        <x:v>0.060500389136212286</x:v>
      </x:c>
      <x:c r="Y11" s="527" t="n">
        <x:f>ABS($D11-ROUND($D11*4,0)/4)/$D11</x:f>
        <x:v>0.04554964977740899</x:v>
      </x:c>
      <x:c r="Z11" s="527" t="n">
        <x:f>ABS($D11-ROUND($D11*5,0)/5)/$D11</x:f>
        <x:v>0.018080373570763805</x:v>
      </x:c>
      <x:c r="AA11" s="527" t="n">
        <x:f>ABS($D11-ROUND($D11*6,0)/6)/$D11</x:f>
        <x:v>0.04554964977740899</x:v>
      </x:c>
      <x:c r="AB11" s="527" t="n">
        <x:f>ABS($D11-ROUND($D11*7,0)/7)/$D11</x:f>
        <x:v>0.00009963310014276841</x:v>
      </x:c>
      <x:c r="AC11" s="527" t="n">
        <x:f>ABS($D11-ROUND($D11*8,0)/8)/$D11</x:f>
        <x:v>0.03398787940780693</x:v>
      </x:c>
      <x:c r="AD11" s="527" t="n">
        <x:f>ABS($D11-ROUND($D11*9,0)/9)/$D11</x:f>
        <x:v>0.010199636806201897</x:v>
      </x:c>
      <x:c r="AE11" s="527" t="n">
        <x:f>ABS($D11-ROUND($D11*10,0)/10)/$D11</x:f>
        <x:v>0.018080373570763805</x:v>
      </x:c>
      <x:c r="AF11" s="527" t="n">
        <x:f>ABS($D11-ROUND($D11*11,0)/11)/$D11</x:f>
        <x:v>0.016626911891875953</x:v>
      </x:c>
      <x:c r="AG11" s="527" t="n">
        <x:f>ABS($D11-ROUND($D11*12,0)/12)/$D11</x:f>
        <x:v>0.0074753696794015775</x:v>
      </x:c>
      <x:c r="AH11" s="527" t="n">
        <x:f>ABS($D11-ROUND($D11*13,0)/13)/$D11</x:f>
        <x:v>0.021076563874265573</x:v>
      </x:c>
      <x:c r="AI11" s="527" t="n">
        <x:f>ABS($D11-ROUND($D11*14,0)/14)/$D11</x:f>
        <x:v>0.00009963310014276841</x:v>
      </x:c>
      <x:c r="AJ11" s="527" t="n">
        <x:f>ABS($D11-ROUND($D11*15,0)/15)/$D11</x:f>
        <x:v>0.018080373570763805</x:v>
      </x:c>
      <x:c r="AK11" s="527" t="n">
        <x:f>ABS($D11-ROUND($D11*16,0)/16)/$D11</x:f>
        <x:v>0.005780885184801028</x:v>
      </x:c>
      <x:c r="AL11" s="527" t="n">
        <x:f>ABS($D11-ROUND($D11*17,0)/17)/$D11</x:f>
        <x:v>0.010594488470978661</x:v>
      </x:c>
      <x:c r="AM11" s="527" t="n">
        <x:f>ABS($D11-ROUND($D11*18,0)/18)/$D11</x:f>
        <x:v>0.010199636806201897</x:v>
      </x:c>
      <x:c r="AN11" s="527" t="n">
        <x:f>ABS($D11-ROUND($D11*19,0)/19)/$D11</x:f>
        <x:v>0.004684579181674766</x:v>
      </x:c>
      <x:c r="AO11" s="527" t="n">
        <x:f>ABS($D11-ROUND($D11*20,0)/20)/$D11</x:f>
        <x:v>0.013734638103322592</x:v>
      </x:c>
    </x:row>
    <x:row r="12" ht="46" customHeight="1">
      <x:c r="A12" s="533" t="n">
        <x:v>7</x:v>
      </x:c>
      <x:c r="B12" s="533" t="str">
        <x:v>Golden Φ Egg — exact φ</x:v>
      </x:c>
      <x:c r="C12" s="533" t="str">
        <x:v>L/W=φ; z=1/r; Z0=7.65; solved αp=51.795319256°</x:v>
      </x:c>
      <x:c r="D12" s="534" t="n">
        <x:f>2/TAN(RADIANS('11_Golden_Egg'!$B6))</x:f>
        <x:v>1.574109391240066</x:v>
      </x:c>
      <x:c r="E12" s="535" t="n">
        <x:f>DEGREES(ATAN(2/D12))</x:f>
        <x:v>51.79531925589765</x:v>
      </x:c>
      <x:c r="F12" s="534" t="n">
        <x:f>'00_Start'!$B$6</x:f>
        <x:v>72.0225</x:v>
      </x:c>
      <x:c r="G12" s="534" t="n">
        <x:f>F12/D12</x:f>
        <x:v>45.754444005483926</x:v>
      </x:c>
      <x:c r="H12" s="534" t="n">
        <x:f>F12/2</x:f>
        <x:v>36.01125</x:v>
      </x:c>
      <x:c r="I12" s="534" t="n">
        <x:f>F12*SQRT(2)</x:f>
        <x:v>101.85519629601623</x:v>
      </x:c>
      <x:c r="J12" s="534" t="n">
        <x:f>SQRT(G12^2+H12^2)</x:f>
        <x:v>58.22610473673697</x:v>
      </x:c>
      <x:c r="K12" s="534" t="n">
        <x:f>SQRT(G12^2+2*H12^2)</x:f>
        <x:v>68.46232101949191</x:v>
      </x:c>
      <x:c r="L12" s="534" t="n">
        <x:f>2*J12/F12</x:f>
        <x:v>1.6168865212048174</x:v>
      </x:c>
      <x:c r="M12" s="534" t="n">
        <x:f>1+L12</x:f>
        <x:v>2.616886521204817</x:v>
      </x:c>
      <x:c r="N12" s="534" t="n">
        <x:f>G12/(3*F12)</x:f>
        <x:v>0.21175995466918407</x:v>
      </x:c>
      <x:c r="O12" s="534" t="n">
        <x:f>ROUND(D12*P12,0)</x:f>
        <x:v>11</x:v>
      </x:c>
      <x:c r="P12" s="534" t="n">
        <x:f>INDEX($V$5:$AO$5,1,MATCH(MIN(V12:AO12),V12:AO12,0))</x:f>
        <x:v>7</x:v>
      </x:c>
      <x:c r="Q12" s="534" t="n">
        <x:f>O12/P12</x:f>
        <x:v>1.5714285714285714</x:v>
      </x:c>
      <x:c r="R12" s="536" t="n">
        <x:f>ABS(D12-Q12)/D12</x:f>
        <x:v>0.0017030708452751085</x:v>
      </x:c>
      <x:c r="S12" s="535" t="n">
        <x:f>ABS(E12-'00_Start'!$B$8)</x:f>
        <x:v>0.04868074410234868</x:v>
      </x:c>
      <x:c r="T12" s="537" t="n">
        <x:f>7*H12/G12</x:f>
        <x:v>5.509382869340231</x:v>
      </x:c>
      <x:c r="U12" s="533" t="str">
        <x:v>The angle follows from the section's exact golden ratio. All constant errors are calculated from this angle, without using the rounded 51.84° value.</x:v>
      </x:c>
      <x:c r="V12" s="536" t="n">
        <x:f>ABS($D12-ROUND($D12*1,0)/1)/$D12</x:f>
        <x:v>0.2705597280151044</x:v>
      </x:c>
      <x:c r="W12" s="536" t="n">
        <x:f>ABS($D12-ROUND($D12*2,0)/2)/$D12</x:f>
        <x:v>0.04708020398867167</x:v>
      </x:c>
      <x:c r="X12" s="536" t="n">
        <x:f>ABS($D12-ROUND($D12*3,0)/3)/$D12</x:f>
        <x:v>0.05879977334592041</x:v>
      </x:c>
      <x:c r="Y12" s="536" t="n">
        <x:f>ABS($D12-ROUND($D12*4,0)/4)/$D12</x:f>
        <x:v>0.04708020398867167</x:v>
      </x:c>
      <x:c r="Z12" s="536" t="n">
        <x:f>ABS($D12-ROUND($D12*5,0)/5)/$D12</x:f>
        <x:v>0.016447782412083604</x:v>
      </x:c>
      <x:c r="AA12" s="536" t="n">
        <x:f>ABS($D12-ROUND($D12*6,0)/6)/$D12</x:f>
        <x:v>0.04708020398867167</x:v>
      </x:c>
      <x:c r="AB12" s="536" t="n">
        <x:f>ABS($D12-ROUND($D12*7,0)/7)/$D12</x:f>
        <x:v>0.0017030708452751085</x:v>
      </x:c>
      <x:c r="AC12" s="536" t="n">
        <x:f>ABS($D12-ROUND($D12*8,0)/8)/$D12</x:f>
        <x:v>0.03232977901227235</x:v>
      </x:c>
      <x:c r="AD12" s="536" t="n">
        <x:f>ABS($D12-ROUND($D12*9,0)/9)/$D12</x:f>
        <x:v>0.011786878210474314</x:v>
      </x:c>
      <x:c r="AE12" s="536" t="n">
        <x:f>ABS($D12-ROUND($D12*10,0)/10)/$D12</x:f>
        <x:v>0.016447782412083604</x:v>
      </x:c>
      <x:c r="AF12" s="536" t="n">
        <x:f>ABS($D12-ROUND($D12*11,0)/11)/$D12</x:f>
        <x:v>0.018203846533782965</x:v>
      </x:c>
      <x:c r="AG12" s="536" t="n">
        <x:f>ABS($D12-ROUND($D12*12,0)/12)/$D12</x:f>
        <x:v>0.0058597846786242955</x:v>
      </x:c>
      <x:c r="AH12" s="536" t="n">
        <x:f>ABS($D12-ROUND($D12*13,0)/13)/$D12</x:f>
        <x:v>0.022646363065304227</x:v>
      </x:c>
      <x:c r="AI12" s="536" t="n">
        <x:f>ABS($D12-ROUND($D12*14,0)/14)/$D12</x:f>
        <x:v>0.0017030708452751085</x:v>
      </x:c>
      <x:c r="AJ12" s="536" t="n">
        <x:f>ABS($D12-ROUND($D12*15,0)/15)/$D12</x:f>
        <x:v>0.016447782412083604</x:v>
      </x:c>
      <x:c r="AK12" s="536" t="n">
        <x:f>ABS($D12-ROUND($D12*16,0)/16)/$D12</x:f>
        <x:v>0.007375212488199662</x:v>
      </x:c>
      <x:c r="AL12" s="536" t="n">
        <x:f>ABS($D12-ROUND($D12*17,0)/17)/$D12</x:f>
        <x:v>0.008973901659053462</x:v>
      </x:c>
      <x:c r="AM12" s="536" t="n">
        <x:f>ABS($D12-ROUND($D12*18,0)/18)/$D12</x:f>
        <x:v>0.011786878210474314</x:v>
      </x:c>
      <x:c r="AN12" s="536" t="n">
        <x:f>ABS($D12-ROUND($D12*19,0)/19)/$D12</x:f>
        <x:v>0.0030734694856087777</x:v>
      </x:c>
      <x:c r="AO12" s="536" t="n">
        <x:f>ABS($D12-ROUND($D12*20,0)/20)/$D12</x:f>
        <x:v>0.015316210788294036</x:v>
      </x:c>
    </x:row>
    <x:row r="13" ht="46" customHeight="1">
      <x:c r="A13" s="538" t="n">
        <x:v>8</x:v>
      </x:c>
      <x:c r="B13" s="538" t="str">
        <x:v>Custom ratio</x:v>
      </x:c>
      <x:c r="C13" s="538" t="str">
        <x:v>Edit B/H in D13</x:v>
      </x:c>
      <x:c r="D13" s="543" t="n">
        <x:v>1.57</x:v>
      </x:c>
      <x:c r="E13" s="540" t="n">
        <x:f>DEGREES(ATAN(2/D13))</x:f>
        <x:v>51.86808632439829</x:v>
      </x:c>
      <x:c r="F13" s="539" t="n">
        <x:f>'00_Start'!$B$6</x:f>
        <x:v>72.0225</x:v>
      </x:c>
      <x:c r="G13" s="539" t="n">
        <x:f>F13/D13</x:f>
        <x:v>45.874203821656046</x:v>
      </x:c>
      <x:c r="H13" s="539" t="n">
        <x:f>F13/2</x:f>
        <x:v>36.01125</x:v>
      </x:c>
      <x:c r="I13" s="539" t="n">
        <x:f>F13*SQRT(2)</x:f>
        <x:v>101.85519629601623</x:v>
      </x:c>
      <x:c r="J13" s="539" t="n">
        <x:f>SQRT(G13^2+H13^2)</x:f>
        <x:v>58.32025979737523</x:v>
      </x:c>
      <x:c r="K13" s="539" t="n">
        <x:f>SQRT(G13^2+2*H13^2)</x:f>
        <x:v>68.54241627923429</x:v>
      </x:c>
      <x:c r="L13" s="539" t="n">
        <x:f>2*J13/F13</x:f>
        <x:v>1.6195011224929774</x:v>
      </x:c>
      <x:c r="M13" s="539" t="n">
        <x:f>1+L13</x:f>
        <x:v>2.619501122492977</x:v>
      </x:c>
      <x:c r="N13" s="539" t="n">
        <x:f>G13/(3*F13)</x:f>
        <x:v>0.21231422505307854</x:v>
      </x:c>
      <x:c r="O13" s="539" t="n">
        <x:f>ROUND(D13*P13,0)</x:f>
        <x:v>11</x:v>
      </x:c>
      <x:c r="P13" s="539" t="n">
        <x:f>INDEX($V$5:$AO$5,1,MATCH(MIN(V13:AO13),V13:AO13,0))</x:f>
        <x:v>7</x:v>
      </x:c>
      <x:c r="Q13" s="539" t="n">
        <x:f>O13/P13</x:f>
        <x:v>1.5714285714285714</x:v>
      </x:c>
      <x:c r="R13" s="541" t="n">
        <x:f>ABS(D13-Q13)/D13</x:f>
        <x:v>0.0009099181073702769</x:v>
      </x:c>
      <x:c r="S13" s="540" t="n">
        <x:f>ABS(E13-'00_Start'!$B$8)</x:f>
        <x:v>0.02408632439829006</x:v>
      </x:c>
      <x:c r="T13" s="542" t="n">
        <x:f>7*H13/G13</x:f>
        <x:v>5.495</x:v>
      </x:c>
      <x:c r="U13" s="538" t="str">
        <x:v>Experimental field — enter a custom B/H.</x:v>
      </x:c>
      <x:c r="V13" s="541" t="n">
        <x:f>ABS($D13-ROUND($D13*1,0)/1)/$D13</x:f>
        <x:v>0.2738853503184713</x:v>
      </x:c>
      <x:c r="W13" s="541" t="n">
        <x:f>ABS($D13-ROUND($D13*2,0)/2)/$D13</x:f>
        <x:v>0.044585987261146535</x:v>
      </x:c>
      <x:c r="X13" s="541" t="n">
        <x:f>ABS($D13-ROUND($D13*3,0)/3)/$D13</x:f>
        <x:v>0.06157112526539279</x:v>
      </x:c>
      <x:c r="Y13" s="541" t="n">
        <x:f>ABS($D13-ROUND($D13*4,0)/4)/$D13</x:f>
        <x:v>0.044585987261146535</x:v>
      </x:c>
      <x:c r="Z13" s="541" t="n">
        <x:f>ABS($D13-ROUND($D13*5,0)/5)/$D13</x:f>
        <x:v>0.019108280254777087</x:v>
      </x:c>
      <x:c r="AA13" s="541" t="n">
        <x:f>ABS($D13-ROUND($D13*6,0)/6)/$D13</x:f>
        <x:v>0.044585987261146535</x:v>
      </x:c>
      <x:c r="AB13" s="541" t="n">
        <x:f>ABS($D13-ROUND($D13*7,0)/7)/$D13</x:f>
        <x:v>0.0009099181073702769</x:v>
      </x:c>
      <x:c r="AC13" s="541" t="n">
        <x:f>ABS($D13-ROUND($D13*8,0)/8)/$D13</x:f>
        <x:v>0.03503184713375792</x:v>
      </x:c>
      <x:c r="AD13" s="541" t="n">
        <x:f>ABS($D13-ROUND($D13*9,0)/9)/$D13</x:f>
        <x:v>0.009200283085633428</x:v>
      </x:c>
      <x:c r="AE13" s="541" t="n">
        <x:f>ABS($D13-ROUND($D13*10,0)/10)/$D13</x:f>
        <x:v>0.019108280254777087</x:v>
      </x:c>
      <x:c r="AF13" s="541" t="n">
        <x:f>ABS($D13-ROUND($D13*11,0)/11)/$D13</x:f>
        <x:v>0.015634047481181305</x:v>
      </x:c>
      <x:c r="AG13" s="541" t="n">
        <x:f>ABS($D13-ROUND($D13*12,0)/12)/$D13</x:f>
        <x:v>0.008492569002123055</x:v>
      </x:c>
      <x:c r="AH13" s="541" t="n">
        <x:f>ABS($D13-ROUND($D13*13,0)/13)/$D13</x:f>
        <x:v>0.02008819206271434</x:v>
      </x:c>
      <x:c r="AI13" s="541" t="n">
        <x:f>ABS($D13-ROUND($D13*14,0)/14)/$D13</x:f>
        <x:v>0.0009099181073702769</x:v>
      </x:c>
      <x:c r="AJ13" s="541" t="n">
        <x:f>ABS($D13-ROUND($D13*15,0)/15)/$D13</x:f>
        <x:v>0.019108280254777087</x:v>
      </x:c>
      <x:c r="AK13" s="541" t="n">
        <x:f>ABS($D13-ROUND($D13*16,0)/16)/$D13</x:f>
        <x:v>0.004777070063694307</x:v>
      </x:c>
      <x:c r="AL13" s="541" t="n">
        <x:f>ABS($D13-ROUND($D13*17,0)/17)/$D13</x:f>
        <x:v>0.011614837017609493</x:v>
      </x:c>
      <x:c r="AM13" s="541" t="n">
        <x:f>ABS($D13-ROUND($D13*18,0)/18)/$D13</x:f>
        <x:v>0.009200283085633428</x:v>
      </x:c>
      <x:c r="AN13" s="541" t="n">
        <x:f>ABS($D13-ROUND($D13*19,0)/19)/$D13</x:f>
        <x:v>0.005698960777740505</x:v>
      </x:c>
      <x:c r="AO13" s="541" t="n">
        <x:f>ABS($D13-ROUND($D13*20,0)/20)/$D13</x:f>
        <x:v>0.012738853503184724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77b6e7784a454a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10" hidden="0" customWidth="1"/>
    <x:col min="4" max="4" width="18" hidden="0" customWidth="1"/>
    <x:col min="5" max="5" width="24" hidden="0" customWidth="1"/>
    <x:col min="6" max="6" width="16" hidden="0" customWidth="1"/>
    <x:col min="7" max="7" width="14" hidden="0" customWidth="1"/>
    <x:col min="8" max="8" width="22" hidden="0" customWidth="1"/>
    <x:col min="9" max="9" width="38" hidden="0" customWidth="1"/>
    <x:col min="10" max="10" width="40" hidden="0" customWidth="1"/>
  </x:cols>
  <x:sheetData>
    <x:row r="1" ht="30" customHeight="1">
      <x:c r="A1" s="126" t="str">
        <x:v>Catalogue of constants and independence</x:v>
      </x:c>
      <x:c r="B1" s="127"/>
      <x:c r="C1" s="127"/>
      <x:c r="D1" s="127"/>
      <x:c r="E1" s="127"/>
      <x:c r="F1" s="127"/>
      <x:c r="G1" s="127"/>
      <x:c r="H1" s="127"/>
      <x:c r="I1" s="127"/>
      <x:c r="J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 ht="34" customHeight="1">
      <x:c r="A3" s="128" t="str">
        <x:v>Weights group algebraically related relations. √2 has weight 0 in the angle ranking because it follows from every square base.</x:v>
      </x:c>
      <x:c r="B3" s="127"/>
      <x:c r="C3" s="127"/>
      <x:c r="D3" s="127"/>
      <x:c r="E3" s="127"/>
      <x:c r="F3" s="127"/>
      <x:c r="G3" s="127"/>
      <x:c r="H3" s="127"/>
      <x:c r="I3" s="127"/>
      <x:c r="J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</x:row>
    <x:row r="5" ht="32" customHeight="1">
      <x:c r="A5" s="129" t="str">
        <x:v>ID</x:v>
      </x:c>
      <x:c r="B5" s="150" t="str">
        <x:v>Constant</x:v>
      </x:c>
      <x:c r="C5" s="150" t="str">
        <x:v>Symbol</x:v>
      </x:c>
      <x:c r="D5" s="150" t="str">
        <x:v>Reference value</x:v>
      </x:c>
      <x:c r="E5" s="150" t="str">
        <x:v>Definition</x:v>
      </x:c>
      <x:c r="F5" s="150" t="str">
        <x:v>Family</x:v>
      </x:c>
      <x:c r="G5" s="150" t="str">
        <x:v>Independence weight</x:v>
      </x:c>
      <x:c r="H5" s="150" t="str">
        <x:v>Role</x:v>
      </x:c>
      <x:c r="I5" s="150" t="str">
        <x:v>Source</x:v>
      </x:c>
      <x:c r="J5" s="130" t="str">
        <x:v>Notes</x:v>
      </x:c>
    </x:row>
    <x:row r="6">
      <x:c r="A6" s="358" t="n">
        <x:v>1</x:v>
      </x:c>
      <x:c r="B6" s="358" t="str">
        <x:v>Pi</x:v>
      </x:c>
      <x:c r="C6" s="358" t="str">
        <x:v>π</x:v>
      </x:c>
      <x:c r="D6" s="377" t="n">
        <x:f>PI()</x:f>
        <x:v>3.141592653589793</x:v>
      </x:c>
      <x:c r="E6" s="358" t="str">
        <x:v>PI()</x:v>
      </x:c>
      <x:c r="F6" s="358" t="str">
        <x:v>π</x:v>
      </x:c>
      <x:c r="G6" s="378" t="n">
        <x:v>1</x:v>
      </x:c>
      <x:c r="H6" s="358" t="str">
        <x:v>12 source relations</x:v>
      </x:c>
      <x:c r="I6" s="358" t="str">
        <x:v>https://oeis.org/A000796</x:v>
      </x:c>
      <x:c r="J6" s="358" t="str">
        <x:v>Natural perimeter/height relation</x:v>
      </x:c>
    </x:row>
    <x:row r="7">
      <x:c r="A7" s="368" t="n">
        <x:v>2</x:v>
      </x:c>
      <x:c r="B7" s="368" t="str">
        <x:v>Euler–Mascheroni</x:v>
      </x:c>
      <x:c r="C7" s="368" t="str">
        <x:v>γ</x:v>
      </x:c>
      <x:c r="D7" s="379" t="n">
        <x:v>0.5772156649015329</x:v>
      </x:c>
      <x:c r="E7" s="368" t="str">
        <x:v>numerical value</x:v>
      </x:c>
      <x:c r="F7" s="368" t="str">
        <x:v>γ–√3–√6</x:v>
      </x:c>
      <x:c r="G7" s="380" t="n">
        <x:v>0.3333333333333333</x:v>
      </x:c>
      <x:c r="H7" s="368" t="str">
        <x:v>12 source relations</x:v>
      </x:c>
      <x:c r="I7" s="368" t="str">
        <x:v>https://oeis.org/A001620</x:v>
      </x:c>
      <x:c r="J7" s="368" t="str">
        <x:v>Related by a reciprocal to the next relation</x:v>
      </x:c>
    </x:row>
    <x:row r="8">
      <x:c r="A8" s="368" t="n">
        <x:v>3</x:v>
      </x:c>
      <x:c r="B8" s="368" t="str">
        <x:v>Square root of 3</x:v>
      </x:c>
      <x:c r="C8" s="368" t="str">
        <x:v>√3</x:v>
      </x:c>
      <x:c r="D8" s="379" t="n">
        <x:f>SQRT(3)</x:f>
        <x:v>1.7320508075688772</x:v>
      </x:c>
      <x:c r="E8" s="368" t="str">
        <x:v>SQRT(3)</x:v>
      </x:c>
      <x:c r="F8" s="368" t="str">
        <x:v>γ–√3–√6</x:v>
      </x:c>
      <x:c r="G8" s="380" t="n">
        <x:v>0.3333333333333333</x:v>
      </x:c>
      <x:c r="H8" s="368" t="str">
        <x:v>12 source relations</x:v>
      </x:c>
      <x:c r="I8" s="368" t="str">
        <x:v>https://oeis.org/wiki/Index_to_constants</x:v>
      </x:c>
      <x:c r="J8" s="368" t="str">
        <x:v>Not exactly 1/γ</x:v>
      </x:c>
    </x:row>
    <x:row r="9">
      <x:c r="A9" s="368" t="n">
        <x:v>4</x:v>
      </x:c>
      <x:c r="B9" s="368" t="str">
        <x:v>Square root of 6</x:v>
      </x:c>
      <x:c r="C9" s="368" t="str">
        <x:v>√6</x:v>
      </x:c>
      <x:c r="D9" s="379" t="n">
        <x:f>SQRT(6)</x:f>
        <x:v>2.449489742783178</x:v>
      </x:c>
      <x:c r="E9" s="368" t="str">
        <x:v>SQRT(6)</x:v>
      </x:c>
      <x:c r="F9" s="368" t="str">
        <x:v>γ–√3–√6</x:v>
      </x:c>
      <x:c r="G9" s="380" t="n">
        <x:v>0.3333333333333333</x:v>
      </x:c>
      <x:c r="H9" s="368" t="str">
        <x:v>12 source relations</x:v>
      </x:c>
      <x:c r="I9" s="368" t="str">
        <x:v>https://oeis.org/wiki/Index_to_constants</x:v>
      </x:c>
      <x:c r="J9" s="368" t="str">
        <x:v>Algebraically related to √3 and √2</x:v>
      </x:c>
    </x:row>
    <x:row r="10">
      <x:c r="A10" s="368" t="n">
        <x:v>5</x:v>
      </x:c>
      <x:c r="B10" s="368" t="str">
        <x:v>Square root of 2</x:v>
      </x:c>
      <x:c r="C10" s="368" t="str">
        <x:v>√2</x:v>
      </x:c>
      <x:c r="D10" s="379" t="n">
        <x:f>SQRT(2)</x:f>
        <x:v>1.4142135623730951</x:v>
      </x:c>
      <x:c r="E10" s="368" t="str">
        <x:v>SQRT(2)</x:v>
      </x:c>
      <x:c r="F10" s="368" t="str">
        <x:v>square</x:v>
      </x:c>
      <x:c r="G10" s="380" t="n">
        <x:v>0</x:v>
      </x:c>
      <x:c r="H10" s="368" t="str">
        <x:v>12 source relations</x:v>
      </x:c>
      <x:c r="I10" s="368" t="str">
        <x:v>https://oeis.org/A002193</x:v>
      </x:c>
      <x:c r="J10" s="368" t="str">
        <x:v>Structural constant; independent of angle</x:v>
      </x:c>
    </x:row>
    <x:row r="11">
      <x:c r="A11" s="368" t="n">
        <x:v>6</x:v>
      </x:c>
      <x:c r="B11" s="368" t="str">
        <x:v>Square root of 5</x:v>
      </x:c>
      <x:c r="C11" s="368" t="str">
        <x:v>√5</x:v>
      </x:c>
      <x:c r="D11" s="379" t="n">
        <x:f>SQRT(5)</x:f>
        <x:v>2.23606797749979</x:v>
      </x:c>
      <x:c r="E11" s="368" t="str">
        <x:v>SQRT(5)</x:v>
      </x:c>
      <x:c r="F11" s="368" t="str">
        <x:v>φ</x:v>
      </x:c>
      <x:c r="G11" s="380" t="n">
        <x:v>0.3333333333333333</x:v>
      </x:c>
      <x:c r="H11" s="368" t="str">
        <x:v>12 source relations</x:v>
      </x:c>
      <x:c r="I11" s="368" t="str">
        <x:v>https://oeis.org/wiki/Index_to_constants</x:v>
      </x:c>
      <x:c r="J11" s="368" t="str">
        <x:v>Consequence of the golden-ratio relation</x:v>
      </x:c>
    </x:row>
    <x:row r="12">
      <x:c r="A12" s="368" t="n">
        <x:v>7</x:v>
      </x:c>
      <x:c r="B12" s="368" t="str">
        <x:v>Tribonacci constant</x:v>
      </x:c>
      <x:c r="C12" s="368" t="str">
        <x:v>T</x:v>
      </x:c>
      <x:c r="D12" s="379" t="n">
        <x:v>1.839286755214161</x:v>
      </x:c>
      <x:c r="E12" s="368" t="str">
        <x:v>x³−x²−x−1=0</x:v>
      </x:c>
      <x:c r="F12" s="368" t="str">
        <x:v>Tribonacci</x:v>
      </x:c>
      <x:c r="G12" s="380" t="n">
        <x:v>1</x:v>
      </x:c>
      <x:c r="H12" s="368" t="str">
        <x:v>12 source relations</x:v>
      </x:c>
      <x:c r="I12" s="368" t="str">
        <x:v>https://oeis.org/wiki/Index_to_constants</x:v>
      </x:c>
      <x:c r="J12" s="368" t="str">
        <x:v>Independent numerical target</x:v>
      </x:c>
    </x:row>
    <x:row r="13">
      <x:c r="A13" s="368" t="n">
        <x:v>8</x:v>
      </x:c>
      <x:c r="B13" s="368" t="str">
        <x:v>Brun's constant B₂</x:v>
      </x:c>
      <x:c r="C13" s="368" t="str">
        <x:v>B₂</x:v>
      </x:c>
      <x:c r="D13" s="379" t="n">
        <x:v>1.902160583104</x:v>
      </x:c>
      <x:c r="E13" s="368" t="str">
        <x:v>sum of reciprocals of twin primes</x:v>
      </x:c>
      <x:c r="F13" s="368" t="str">
        <x:v>Brun</x:v>
      </x:c>
      <x:c r="G13" s="380" t="n">
        <x:v>1</x:v>
      </x:c>
      <x:c r="H13" s="368" t="str">
        <x:v>12 source relations</x:v>
      </x:c>
      <x:c r="I13" s="368" t="str">
        <x:v>https://oeis.org/A065421</x:v>
      </x:c>
      <x:c r="J13" s="368" t="str">
        <x:v>Independent numerical target</x:v>
      </x:c>
    </x:row>
    <x:row r="14">
      <x:c r="A14" s="368" t="n">
        <x:v>9</x:v>
      </x:c>
      <x:c r="B14" s="368" t="str">
        <x:v>Reciprocal of φ</x:v>
      </x:c>
      <x:c r="C14" s="368" t="str">
        <x:v>1/φ</x:v>
      </x:c>
      <x:c r="D14" s="379" t="n">
        <x:f>(SQRT(5)-1)/2</x:f>
        <x:v>0.6180339887498949</x:v>
      </x:c>
      <x:c r="E14" s="368" t="str">
        <x:v>(SQRT(5)-1)/2</x:v>
      </x:c>
      <x:c r="F14" s="368" t="str">
        <x:v>φ</x:v>
      </x:c>
      <x:c r="G14" s="380" t="n">
        <x:v>0.3333333333333333</x:v>
      </x:c>
      <x:c r="H14" s="368" t="str">
        <x:v>12 source relations</x:v>
      </x:c>
      <x:c r="I14" s="368" t="str">
        <x:v>https://oeis.org/wiki/Index_to_constants</x:v>
      </x:c>
      <x:c r="J14" s="368" t="str">
        <x:v>Follows from φ</x:v>
      </x:c>
    </x:row>
    <x:row r="15">
      <x:c r="A15" s="368" t="n">
        <x:v>10</x:v>
      </x:c>
      <x:c r="B15" s="368" t="str">
        <x:v>Golden ratio</x:v>
      </x:c>
      <x:c r="C15" s="368" t="str">
        <x:v>φ</x:v>
      </x:c>
      <x:c r="D15" s="379" t="n">
        <x:f>(1+SQRT(5))/2</x:f>
        <x:v>1.618033988749895</x:v>
      </x:c>
      <x:c r="E15" s="368" t="str">
        <x:v>(1+SQRT(5))/2</x:v>
      </x:c>
      <x:c r="F15" s="368" t="str">
        <x:v>φ</x:v>
      </x:c>
      <x:c r="G15" s="380" t="n">
        <x:v>0.3333333333333333</x:v>
      </x:c>
      <x:c r="H15" s="368" t="str">
        <x:v>12 source relations</x:v>
      </x:c>
      <x:c r="I15" s="368" t="str">
        <x:v>https://oeis.org/A001622</x:v>
      </x:c>
      <x:c r="J15" s="368" t="str">
        <x:v>Natural slant height / half-base</x:v>
      </x:c>
    </x:row>
    <x:row r="16">
      <x:c r="A16" s="368" t="n">
        <x:v>11</x:v>
      </x:c>
      <x:c r="B16" s="368" t="str">
        <x:v>Euler's number e</x:v>
      </x:c>
      <x:c r="C16" s="368" t="str">
        <x:v>e</x:v>
      </x:c>
      <x:c r="D16" s="379" t="n">
        <x:f>EXP(1)</x:f>
        <x:v>2.718281828459045</x:v>
      </x:c>
      <x:c r="E16" s="368" t="str">
        <x:v>EXP(1)</x:v>
      </x:c>
      <x:c r="F16" s="368" t="str">
        <x:v>e</x:v>
      </x:c>
      <x:c r="G16" s="380" t="n">
        <x:v>0.5</x:v>
      </x:c>
      <x:c r="H16" s="368" t="str">
        <x:v>12 source relations</x:v>
      </x:c>
      <x:c r="I16" s="368" t="str">
        <x:v>https://oeis.org/A001113</x:v>
      </x:c>
      <x:c r="J16" s="368" t="str">
        <x:v>Angular formula</x:v>
      </x:c>
    </x:row>
    <x:row r="17">
      <x:c r="A17" s="368" t="n">
        <x:v>12</x:v>
      </x:c>
      <x:c r="B17" s="368" t="str">
        <x:v>e − 1</x:v>
      </x:c>
      <x:c r="C17" s="368" t="str">
        <x:v>e−1</x:v>
      </x:c>
      <x:c r="D17" s="379" t="n">
        <x:f>EXP(1)-1</x:f>
        <x:v>1.718281828459045</x:v>
      </x:c>
      <x:c r="E17" s="368" t="str">
        <x:v>EXP(1)-1</x:v>
      </x:c>
      <x:c r="F17" s="368" t="str">
        <x:v>e</x:v>
      </x:c>
      <x:c r="G17" s="380" t="n">
        <x:v>0.5</x:v>
      </x:c>
      <x:c r="H17" s="368" t="str">
        <x:v>12 source relations</x:v>
      </x:c>
      <x:c r="I17" s="368" t="str">
        <x:v>https://oeis.org/wiki/Index_to_constants</x:v>
      </x:c>
      <x:c r="J17" s="368" t="str">
        <x:v>Derived from e</x:v>
      </x:c>
    </x:row>
    <x:row r="18">
      <x:c r="A18" s="381" t="n">
        <x:v>13</x:v>
      </x:c>
      <x:c r="B18" s="381" t="str">
        <x:v>Plastic constant</x:v>
      </x:c>
      <x:c r="C18" s="381" t="str">
        <x:v>ρ</x:v>
      </x:c>
      <x:c r="D18" s="382" t="n">
        <x:v>1.324717957244746</x:v>
      </x:c>
      <x:c r="E18" s="381" t="str">
        <x:v>x³−x−1=0</x:v>
      </x:c>
      <x:c r="F18" s="381" t="str">
        <x:v>candidates</x:v>
      </x:c>
      <x:c r="G18" s="383" t="n">
        <x:v>1</x:v>
      </x:c>
      <x:c r="H18" s="381" t="str">
        <x:v>search library</x:v>
      </x:c>
      <x:c r="I18" s="381" t="str">
        <x:v>https://oeis.org/wiki/Index_to_constants</x:v>
      </x:c>
      <x:c r="J18" s="381" t="str">
        <x:v>New target</x:v>
      </x:c>
    </x:row>
    <x:row r="19">
      <x:c r="A19" s="381" t="n">
        <x:v>14</x:v>
      </x:c>
      <x:c r="B19" s="381" t="str">
        <x:v>Silver ratio</x:v>
      </x:c>
      <x:c r="C19" s="381" t="str">
        <x:v>δS</x:v>
      </x:c>
      <x:c r="D19" s="382" t="n">
        <x:f>1+SQRT(2)</x:f>
        <x:v>2.414213562373095</x:v>
      </x:c>
      <x:c r="E19" s="381" t="str">
        <x:v>1+SQRT(2)</x:v>
      </x:c>
      <x:c r="F19" s="381" t="str">
        <x:v>candidates</x:v>
      </x:c>
      <x:c r="G19" s="383" t="n">
        <x:v>1</x:v>
      </x:c>
      <x:c r="H19" s="381" t="str">
        <x:v>search library</x:v>
      </x:c>
      <x:c r="I19" s="381" t="str">
        <x:v>https://oeis.org/wiki/Index_to_constants</x:v>
      </x:c>
      <x:c r="J19" s="381" t="str">
        <x:v>Note: follows directly from the square base</x:v>
      </x:c>
    </x:row>
    <x:row r="20">
      <x:c r="A20" s="381" t="n">
        <x:v>15</x:v>
      </x:c>
      <x:c r="B20" s="381" t="str">
        <x:v>Catalan's constant</x:v>
      </x:c>
      <x:c r="C20" s="381" t="str">
        <x:v>G</x:v>
      </x:c>
      <x:c r="D20" s="382" t="n">
        <x:v>0.915965594177219</x:v>
      </x:c>
      <x:c r="E20" s="381" t="str">
        <x:v>numerical value</x:v>
      </x:c>
      <x:c r="F20" s="381" t="str">
        <x:v>candidates</x:v>
      </x:c>
      <x:c r="G20" s="383" t="n">
        <x:v>1</x:v>
      </x:c>
      <x:c r="H20" s="381" t="str">
        <x:v>search library</x:v>
      </x:c>
      <x:c r="I20" s="381" t="str">
        <x:v>https://oeis.org/wiki/Index_to_constants</x:v>
      </x:c>
      <x:c r="J20" s="381" t="str">
        <x:v>New target</x:v>
      </x:c>
    </x:row>
    <x:row r="21">
      <x:c r="A21" s="381" t="n">
        <x:v>16</x:v>
      </x:c>
      <x:c r="B21" s="381" t="str">
        <x:v>Apéry's constant</x:v>
      </x:c>
      <x:c r="C21" s="381" t="str">
        <x:v>ζ(3)</x:v>
      </x:c>
      <x:c r="D21" s="382" t="n">
        <x:v>1.202056903159594</x:v>
      </x:c>
      <x:c r="E21" s="381" t="str">
        <x:v>zeta(3)</x:v>
      </x:c>
      <x:c r="F21" s="381" t="str">
        <x:v>candidates</x:v>
      </x:c>
      <x:c r="G21" s="383" t="n">
        <x:v>1</x:v>
      </x:c>
      <x:c r="H21" s="381" t="str">
        <x:v>search library</x:v>
      </x:c>
      <x:c r="I21" s="381" t="str">
        <x:v>https://oeis.org/wiki/Index_to_constants</x:v>
      </x:c>
      <x:c r="J21" s="381" t="str">
        <x:v>New target</x:v>
      </x:c>
    </x:row>
    <x:row r="22">
      <x:c r="A22" s="381" t="n">
        <x:v>17</x:v>
      </x:c>
      <x:c r="B22" s="381" t="str">
        <x:v>Khinchin's constant</x:v>
      </x:c>
      <x:c r="C22" s="381" t="str">
        <x:v>K</x:v>
      </x:c>
      <x:c r="D22" s="382" t="n">
        <x:v>2.685452001065306</x:v>
      </x:c>
      <x:c r="E22" s="381" t="str">
        <x:v>numerical value</x:v>
      </x:c>
      <x:c r="F22" s="381" t="str">
        <x:v>candidates</x:v>
      </x:c>
      <x:c r="G22" s="383" t="n">
        <x:v>1</x:v>
      </x:c>
      <x:c r="H22" s="381" t="str">
        <x:v>search library</x:v>
      </x:c>
      <x:c r="I22" s="381" t="str">
        <x:v>https://oeis.org/A002210</x:v>
      </x:c>
      <x:c r="J22" s="381" t="str">
        <x:v>New target</x:v>
      </x:c>
    </x:row>
    <x:row r="23">
      <x:c r="A23" s="381" t="n">
        <x:v>18</x:v>
      </x:c>
      <x:c r="B23" s="381" t="str">
        <x:v>Feigenbaum constant δ</x:v>
      </x:c>
      <x:c r="C23" s="381" t="str">
        <x:v>δ</x:v>
      </x:c>
      <x:c r="D23" s="382" t="n">
        <x:v>4.66920160910299</x:v>
      </x:c>
      <x:c r="E23" s="381" t="str">
        <x:v>numerical value</x:v>
      </x:c>
      <x:c r="F23" s="381" t="str">
        <x:v>candidates</x:v>
      </x:c>
      <x:c r="G23" s="383" t="n">
        <x:v>1</x:v>
      </x:c>
      <x:c r="H23" s="381" t="str">
        <x:v>search library</x:v>
      </x:c>
      <x:c r="I23" s="381" t="str">
        <x:v>https://oeis.org/wiki/Index_to_constants</x:v>
      </x:c>
      <x:c r="J23" s="381" t="str">
        <x:v>New target</x:v>
      </x:c>
    </x:row>
    <x:row r="24">
      <x:c r="A24" s="381" t="n">
        <x:v>19</x:v>
      </x:c>
      <x:c r="B24" s="381" t="str">
        <x:v>Omega constant</x:v>
      </x:c>
      <x:c r="C24" s="381" t="str">
        <x:v>Ω</x:v>
      </x:c>
      <x:c r="D24" s="382" t="n">
        <x:v>0.567143290409784</x:v>
      </x:c>
      <x:c r="E24" s="381" t="str">
        <x:v>Ω·EXP(Ω)=1</x:v>
      </x:c>
      <x:c r="F24" s="381" t="str">
        <x:v>candidates</x:v>
      </x:c>
      <x:c r="G24" s="383" t="n">
        <x:v>1</x:v>
      </x:c>
      <x:c r="H24" s="381" t="str">
        <x:v>search library</x:v>
      </x:c>
      <x:c r="I24" s="381" t="str">
        <x:v>https://oeis.org/wiki/Index_to_constants</x:v>
      </x:c>
      <x:c r="J24" s="381" t="str">
        <x:v>New target</x:v>
      </x:c>
    </x:row>
    <x:row r="25">
      <x:c r="A25" s="381" t="n">
        <x:v>20</x:v>
      </x:c>
      <x:c r="B25" s="381" t="str">
        <x:v>Conway's constant</x:v>
      </x:c>
      <x:c r="C25" s="381" t="str">
        <x:v>λC</x:v>
      </x:c>
      <x:c r="D25" s="382" t="n">
        <x:v>1.303577269034296</x:v>
      </x:c>
      <x:c r="E25" s="381" t="str">
        <x:v>look-and-say</x:v>
      </x:c>
      <x:c r="F25" s="381" t="str">
        <x:v>candidates</x:v>
      </x:c>
      <x:c r="G25" s="383" t="n">
        <x:v>1</x:v>
      </x:c>
      <x:c r="H25" s="381" t="str">
        <x:v>search library</x:v>
      </x:c>
      <x:c r="I25" s="381" t="str">
        <x:v>https://oeis.org/wiki/Index_to_constants</x:v>
      </x:c>
      <x:c r="J25" s="381" t="str">
        <x:v>New target</x:v>
      </x:c>
    </x:row>
    <x:row r="26">
      <x:c r="A26" s="381" t="n">
        <x:v>21</x:v>
      </x:c>
      <x:c r="B26" s="381" t="str">
        <x:v>Square root of 7</x:v>
      </x:c>
      <x:c r="C26" s="381" t="str">
        <x:v>√7</x:v>
      </x:c>
      <x:c r="D26" s="382" t="n">
        <x:f>SQRT(7)</x:f>
        <x:v>2.6457513110645907</x:v>
      </x:c>
      <x:c r="E26" s="381" t="str">
        <x:v>SQRT(7)</x:v>
      </x:c>
      <x:c r="F26" s="381" t="str">
        <x:v>candidates</x:v>
      </x:c>
      <x:c r="G26" s="383" t="n">
        <x:v>1</x:v>
      </x:c>
      <x:c r="H26" s="381" t="str">
        <x:v>search library</x:v>
      </x:c>
      <x:c r="I26" s="381" t="str">
        <x:v>https://oeis.org/wiki/Index_to_constants</x:v>
      </x:c>
      <x:c r="J26" s="381" t="str">
        <x:v>Simple algebraic target</x:v>
      </x:c>
    </x:row>
    <x:row r="27">
      <x:c r="A27" s="381" t="n">
        <x:v>22</x:v>
      </x:c>
      <x:c r="B27" s="381" t="str">
        <x:v>Natural logarithm of 2</x:v>
      </x:c>
      <x:c r="C27" s="381" t="str">
        <x:v>ln 2</x:v>
      </x:c>
      <x:c r="D27" s="382" t="n">
        <x:f>LN(2)</x:f>
        <x:v>0.6931471805599453</x:v>
      </x:c>
      <x:c r="E27" s="381" t="str">
        <x:v>LN(2)</x:v>
      </x:c>
      <x:c r="F27" s="381" t="str">
        <x:v>candidates</x:v>
      </x:c>
      <x:c r="G27" s="383" t="n">
        <x:v>1</x:v>
      </x:c>
      <x:c r="H27" s="381" t="str">
        <x:v>search library</x:v>
      </x:c>
      <x:c r="I27" s="381" t="str">
        <x:v>https://oeis.org/wiki/Index_to_constants</x:v>
      </x:c>
      <x:c r="J27" s="381" t="str">
        <x:v>Simple analytical target</x:v>
      </x:c>
    </x:row>
    <x:row r="28">
      <x:c r="A28" s="381" t="n">
        <x:v>23</x:v>
      </x:c>
      <x:c r="B28" s="381" t="str">
        <x:v>Square root of pi</x:v>
      </x:c>
      <x:c r="C28" s="381" t="str">
        <x:v>√π</x:v>
      </x:c>
      <x:c r="D28" s="382" t="n">
        <x:f>SQRT(PI())</x:f>
        <x:v>1.7724538509055159</x:v>
      </x:c>
      <x:c r="E28" s="381" t="str">
        <x:v>SQRT(PI())</x:v>
      </x:c>
      <x:c r="F28" s="381" t="str">
        <x:v>candidates</x:v>
      </x:c>
      <x:c r="G28" s="383" t="n">
        <x:v>1</x:v>
      </x:c>
      <x:c r="H28" s="381" t="str">
        <x:v>search library</x:v>
      </x:c>
      <x:c r="I28" s="381" t="str">
        <x:v>https://oeis.org/wiki/Index_to_constants</x:v>
      </x:c>
      <x:c r="J28" s="381" t="str">
        <x:v>New target</x:v>
      </x:c>
    </x:row>
    <x:row r="29">
      <x:c r="A29" s="381" t="n">
        <x:v>24</x:v>
      </x:c>
      <x:c r="B29" s="381" t="str">
        <x:v>2 / √π</x:v>
      </x:c>
      <x:c r="C29" s="381" t="str">
        <x:v>2/√π</x:v>
      </x:c>
      <x:c r="D29" s="382" t="n">
        <x:f>2/SQRT(PI())</x:f>
        <x:v>1.1283791670955126</x:v>
      </x:c>
      <x:c r="E29" s="381" t="str">
        <x:v>2/SQRT(PI())</x:v>
      </x:c>
      <x:c r="F29" s="381" t="str">
        <x:v>candidates</x:v>
      </x:c>
      <x:c r="G29" s="383" t="n">
        <x:v>1</x:v>
      </x:c>
      <x:c r="H29" s="381" t="str">
        <x:v>search library</x:v>
      </x:c>
      <x:c r="I29" s="381" t="str">
        <x:v>https://oeis.org/wiki/Index_to_constants</x:v>
      </x:c>
      <x:c r="J29" s="381" t="str">
        <x:v>Reciprocal pair with √π</x:v>
      </x:c>
    </x:row>
    <x:row r="30">
      <x:c r="A30" s="381" t="n">
        <x:v>25</x:v>
      </x:c>
      <x:c r="B30" s="381" t="str">
        <x:v>e / π</x:v>
      </x:c>
      <x:c r="C30" s="381" t="str">
        <x:v>e/π</x:v>
      </x:c>
      <x:c r="D30" s="382" t="n">
        <x:f>EXP(1)/PI()</x:f>
        <x:v>0.8652559794322651</x:v>
      </x:c>
      <x:c r="E30" s="381" t="str">
        <x:v>EXP(1)/PI()</x:v>
      </x:c>
      <x:c r="F30" s="381" t="str">
        <x:v>candidates</x:v>
      </x:c>
      <x:c r="G30" s="383" t="n">
        <x:v>1</x:v>
      </x:c>
      <x:c r="H30" s="381" t="str">
        <x:v>search library</x:v>
      </x:c>
      <x:c r="I30" s="381" t="str">
        <x:v>https://oeis.org/wiki/Index_to_constants</x:v>
      </x:c>
      <x:c r="J30" s="381" t="str">
        <x:v>Composite constant</x:v>
      </x:c>
    </x:row>
    <x:row r="31">
      <x:c r="A31" s="381" t="n">
        <x:v>26</x:v>
      </x:c>
      <x:c r="B31" s="381" t="str">
        <x:v>π / e</x:v>
      </x:c>
      <x:c r="C31" s="381" t="str">
        <x:v>π/e</x:v>
      </x:c>
      <x:c r="D31" s="382" t="n">
        <x:f>PI()/EXP(1)</x:f>
        <x:v>1.1557273497909217</x:v>
      </x:c>
      <x:c r="E31" s="381" t="str">
        <x:v>PI()/EXP(1)</x:v>
      </x:c>
      <x:c r="F31" s="381" t="str">
        <x:v>candidates</x:v>
      </x:c>
      <x:c r="G31" s="383" t="n">
        <x:v>1</x:v>
      </x:c>
      <x:c r="H31" s="381" t="str">
        <x:v>search library</x:v>
      </x:c>
      <x:c r="I31" s="381" t="str">
        <x:v>https://oeis.org/wiki/Index_to_constants</x:v>
      </x:c>
      <x:c r="J31" s="381" t="str">
        <x:v>Composite constant</x:v>
      </x:c>
    </x:row>
    <x:row r="32">
      <x:c r="A32" s="381" t="n">
        <x:v>27</x:v>
      </x:c>
      <x:c r="B32" s="381" t="str">
        <x:v>Square root of φ</x:v>
      </x:c>
      <x:c r="C32" s="381" t="str">
        <x:v>√φ</x:v>
      </x:c>
      <x:c r="D32" s="382" t="n">
        <x:f>SQRT((1+SQRT(5))/2)</x:f>
        <x:v>1.272019649514069</x:v>
      </x:c>
      <x:c r="E32" s="381" t="str">
        <x:v>SQRT((1+SQRT(5))/2)</x:v>
      </x:c>
      <x:c r="F32" s="381" t="str">
        <x:v>candidates</x:v>
      </x:c>
      <x:c r="G32" s="383" t="n">
        <x:v>1</x:v>
      </x:c>
      <x:c r="H32" s="381" t="str">
        <x:v>search library</x:v>
      </x:c>
      <x:c r="I32" s="381" t="str">
        <x:v>https://oeis.org/wiki/Index_to_constants</x:v>
      </x:c>
      <x:c r="J32" s="381" t="str">
        <x:v>Part of the φ model</x:v>
      </x:c>
    </x:row>
    <x:row r="33">
      <x:c r="A33" s="384" t="n">
        <x:v>28</x:v>
      </x:c>
      <x:c r="B33" s="384" t="str">
        <x:v>φ²</x:v>
      </x:c>
      <x:c r="C33" s="384" t="str">
        <x:v>φ²</x:v>
      </x:c>
      <x:c r="D33" s="385" t="n">
        <x:f>((1+SQRT(5))/2)^2</x:f>
        <x:v>2.618033988749895</x:v>
      </x:c>
      <x:c r="E33" s="384" t="str">
        <x:v>((1+SQRT(5))/2)^2</x:v>
      </x:c>
      <x:c r="F33" s="384" t="str">
        <x:v>candidates</x:v>
      </x:c>
      <x:c r="G33" s="386" t="n">
        <x:v>1</x:v>
      </x:c>
      <x:c r="H33" s="384" t="str">
        <x:v>search library</x:v>
      </x:c>
      <x:c r="I33" s="384" t="str">
        <x:v>https://oeis.org/wiki/Index_to_constants</x:v>
      </x:c>
      <x:c r="J33" s="384" t="str">
        <x:v>Derived from φ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1bbf58839cbd41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30" customHeight="1">
      <x:c r="A1" s="126" t="str">
        <x:v>Comparison of 12 relations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</x:row>
    <x:row r="3" ht="34" customHeight="1">
      <x:c r="A3" s="128" t="str">
        <x:v>Every error is relative: |result − constant| / constant. Green cells are the smallest and red cells the largest in the analyzed set.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387" t="str">
        <x:v>weights →</x:v>
      </x:c>
      <x:c r="P4" s="387" t="n">
        <x:f>'02_Constants'!G6</x:f>
        <x:v>1</x:v>
      </x:c>
      <x:c r="Q4" s="387" t="n">
        <x:f>'02_Constants'!G7</x:f>
        <x:v>0.3333333333333333</x:v>
      </x:c>
      <x:c r="R4" s="387" t="n">
        <x:f>'02_Constants'!G8</x:f>
        <x:v>0.3333333333333333</x:v>
      </x:c>
      <x:c r="S4" s="387" t="n">
        <x:f>'02_Constants'!G9</x:f>
        <x:v>0.3333333333333333</x:v>
      </x:c>
      <x:c r="T4" s="387" t="n">
        <x:f>'02_Constants'!G10</x:f>
        <x:v>0</x:v>
      </x:c>
      <x:c r="U4" s="387" t="n">
        <x:f>'02_Constants'!G11</x:f>
        <x:v>0.3333333333333333</x:v>
      </x:c>
      <x:c r="V4" s="387" t="n">
        <x:f>'02_Constants'!G12</x:f>
        <x:v>1</x:v>
      </x:c>
      <x:c r="W4" s="387" t="n">
        <x:f>'02_Constants'!G13</x:f>
        <x:v>1</x:v>
      </x:c>
      <x:c r="X4" s="387" t="n">
        <x:f>'02_Constants'!G14</x:f>
        <x:v>0.3333333333333333</x:v>
      </x:c>
      <x:c r="Y4" s="387" t="n">
        <x:f>'02_Constants'!G15</x:f>
        <x:v>0.3333333333333333</x:v>
      </x:c>
      <x:c r="Z4" s="387" t="n">
        <x:f>'02_Constants'!G16</x:f>
        <x:v>0.5</x:v>
      </x:c>
      <x:c r="AA4" s="387" t="n">
        <x:f>'02_Constants'!G17</x:f>
        <x:v>0.5</x:v>
      </x:c>
      <x:c r="AB4" s="127"/>
      <x:c r="AC4" s="127"/>
      <x:c r="AD4" s="127"/>
      <x:c r="AE4" s="127"/>
      <x:c r="AF4" s="127"/>
    </x:row>
    <x:row r="5" ht="32" customHeight="1">
      <x:c r="A5" s="129" t="str">
        <x:v>Model</x:v>
      </x:c>
      <x:c r="B5" s="150" t="str">
        <x:v>Angle [°]</x:v>
      </x:c>
      <x:c r="C5" s="150" t="str">
        <x:v>B/H</x:v>
      </x:c>
      <x:c r="D5" s="150" t="str">
        <x:v>π</x:v>
      </x:c>
      <x:c r="E5" s="150" t="str">
        <x:v>γ</x:v>
      </x:c>
      <x:c r="F5" s="150" t="str">
        <x:v>√3</x:v>
      </x:c>
      <x:c r="G5" s="150" t="str">
        <x:v>√6</x:v>
      </x:c>
      <x:c r="H5" s="150" t="str">
        <x:v>√2</x:v>
      </x:c>
      <x:c r="I5" s="150" t="str">
        <x:v>√5</x:v>
      </x:c>
      <x:c r="J5" s="150" t="str">
        <x:v>T</x:v>
      </x:c>
      <x:c r="K5" s="150" t="str">
        <x:v>B₂</x:v>
      </x:c>
      <x:c r="L5" s="150" t="str">
        <x:v>1/φ</x:v>
      </x:c>
      <x:c r="M5" s="150" t="str">
        <x:v>φ</x:v>
      </x:c>
      <x:c r="N5" s="150" t="str">
        <x:v>e</x:v>
      </x:c>
      <x:c r="O5" s="150" t="str">
        <x:v>e−1</x:v>
      </x:c>
      <x:c r="P5" s="150" t="str">
        <x:v>π error</x:v>
      </x:c>
      <x:c r="Q5" s="150" t="str">
        <x:v>γ error</x:v>
      </x:c>
      <x:c r="R5" s="150" t="str">
        <x:v>√3 error</x:v>
      </x:c>
      <x:c r="S5" s="150" t="str">
        <x:v>√6 error</x:v>
      </x:c>
      <x:c r="T5" s="150" t="str">
        <x:v>√2 error</x:v>
      </x:c>
      <x:c r="U5" s="150" t="str">
        <x:v>√5 error</x:v>
      </x:c>
      <x:c r="V5" s="150" t="str">
        <x:v>T error</x:v>
      </x:c>
      <x:c r="W5" s="150" t="str">
        <x:v>B₂ error</x:v>
      </x:c>
      <x:c r="X5" s="150" t="str">
        <x:v>1/φ error</x:v>
      </x:c>
      <x:c r="Y5" s="150" t="str">
        <x:v>φ error</x:v>
      </x:c>
      <x:c r="Z5" s="150" t="str">
        <x:v>e error</x:v>
      </x:c>
      <x:c r="AA5" s="150" t="str">
        <x:v>e−1 error</x:v>
      </x:c>
      <x:c r="AB5" s="150" t="str">
        <x:v>Mean error across 12</x:v>
      </x:c>
      <x:c r="AC5" s="150" t="str">
        <x:v>Independent error</x:v>
      </x:c>
      <x:c r="AD5" s="150" t="str">
        <x:v>RMS</x:v>
      </x:c>
      <x:c r="AE5" s="150" t="str">
        <x:v>Maximum</x:v>
      </x:c>
      <x:c r="AF5" s="130" t="str">
        <x:v>Count within tolerance</x:v>
      </x:c>
    </x:row>
    <x:row r="6">
      <x:c r="A6" s="131" t="str">
        <x:f>'01_Models'!B6</x:f>
        <x:v>Exact φ</x:v>
      </x:c>
      <x:c r="B6" s="356" t="n">
        <x:f>'01_Models'!E6</x:f>
        <x:v>51.827292372987756</x:v>
      </x:c>
      <x:c r="C6" s="355" t="n">
        <x:f>'01_Models'!D6</x:f>
        <x:v>1.5723027555148466</x:v>
      </x:c>
      <x:c r="D6" s="355" t="n">
        <x:f>2*'01_Models'!F6/'01_Models'!G6</x:f>
        <x:v>3.144605511029693</x:v>
      </x:c>
      <x:c r="E6" s="355" t="n">
        <x:f>2*'01_Models'!F6/('01_Models'!G6+2*'01_Models'!I6)</x:f>
        <x:v>0.5772943855384021</x:v>
      </x:c>
      <x:c r="F6" s="355" t="n">
        <x:f>('01_Models'!G6+2*'01_Models'!I6)/(2*'01_Models'!F6)</x:f>
        <x:v>1.7322184747516123</x:v>
      </x:c>
      <x:c r="G6" s="355" t="n">
        <x:f>('01_Models'!G6+2*'01_Models'!I6)/'01_Models'!I6</x:f>
        <x:v>2.4497268599869666</x:v>
      </x:c>
      <x:c r="H6" s="355" t="n">
        <x:f>'01_Models'!I6/'01_Models'!F6</x:f>
        <x:v>1.4142135623730951</x:v>
      </x:c>
      <x:c r="I6" s="355" t="n">
        <x:f>('01_Models'!J6+'01_Models'!F6)/'01_Models'!J6</x:f>
        <x:v>2.2360679774997894</x:v>
      </x:c>
      <x:c r="J6" s="355" t="n">
        <x:f>('01_Models'!H6+2*'01_Models'!I6)/('01_Models'!J6+'01_Models'!F6)</x:f>
        <x:v>1.8399092629288594</x:v>
      </x:c>
      <x:c r="K6" s="355" t="n">
        <x:f>'01_Models'!K6/'01_Models'!H6</x:f>
        <x:v>1.9021130325903073</x:v>
      </x:c>
      <x:c r="L6" s="355" t="n">
        <x:f>'01_Models'!J6/('01_Models'!J6+'01_Models'!H6)</x:f>
        <x:v>0.6180339887498948</x:v>
      </x:c>
      <x:c r="M6" s="355" t="n">
        <x:f>'01_Models'!J6/'01_Models'!H6</x:f>
        <x:v>1.6180339887498951</x:v>
      </x:c>
      <x:c r="N6" s="355" t="n">
        <x:f>2*'01_Models'!E6/(90-'01_Models'!E6)</x:f>
        <x:v>2.715410857379846</x:v>
      </x:c>
      <x:c r="O6" s="355" t="n">
        <x:f>2*'01_Models'!E6/(90-'01_Models'!E6)-1</x:f>
        <x:v>1.715410857379846</x:v>
      </x:c>
      <x:c r="P6" s="359" t="n">
        <x:f>ABS(D6-'02_Constants'!$D$6)/'02_Constants'!$D$6</x:f>
        <x:v>0.0009590223087825513</x:v>
      </x:c>
      <x:c r="Q6" s="359" t="n">
        <x:f>ABS(E6-'02_Constants'!$D$7)/'02_Constants'!$D$7</x:f>
        <x:v>0.00013637993848041104</x:v>
      </x:c>
      <x:c r="R6" s="359" t="n">
        <x:f>ABS(F6-'02_Constants'!$D$8)/'02_Constants'!$D$8</x:f>
        <x:v>0.00009680269308636883</x:v>
      </x:c>
      <x:c r="S6" s="359" t="n">
        <x:f>ABS(G6-'02_Constants'!$D$9)/'02_Constants'!$D$9</x:f>
        <x:v>0.00009680269308631516</x:v>
      </x:c>
      <x:c r="T6" s="359" t="n">
        <x:f>ABS(H6-'02_Constants'!$D$10)/'02_Constants'!$D$10</x:f>
        <x:v>0</x:v>
      </x:c>
      <x:c r="U6" s="359" t="n">
        <x:f>ABS(I6-'02_Constants'!$D$11)/'02_Constants'!$D$11</x:f>
        <x:v>1.9860273225978183e-16</x:v>
      </x:c>
      <x:c r="V6" s="359" t="n">
        <x:f>ABS(J6-'02_Constants'!$D$12)/'02_Constants'!$D$12</x:f>
        <x:v>0.0003384506047975771</x:v>
      </x:c>
      <x:c r="W6" s="359" t="n">
        <x:f>ABS(K6-'02_Constants'!$D$13)/'02_Constants'!$D$13</x:f>
        <x:v>0.000024998159521930594</x:v>
      </x:c>
      <x:c r="X6" s="359" t="n">
        <x:f>ABS(L6-'02_Constants'!$D$14)/'02_Constants'!$D$14</x:f>
        <x:v>1.7963785889362146e-16</x:v>
      </x:c>
      <x:c r="Y6" s="359" t="n">
        <x:f>ABS(M6-'02_Constants'!$D$15)/'02_Constants'!$D$15</x:f>
        <x:v>1.3723111286221163e-16</x:v>
      </x:c>
      <x:c r="Z6" s="359" t="n">
        <x:f>ABS(N6-'02_Constants'!$D$16)/'02_Constants'!$D$16</x:f>
        <x:v>0.0010561712362350938</x:v>
      </x:c>
      <x:c r="AA6" s="359" t="n">
        <x:f>ABS(O6-'02_Constants'!$D$17)/'02_Constants'!$D$17</x:f>
        <x:v>0.001670838294189299</x:v>
      </x:c>
      <x:c r="AB6" s="359" t="n">
        <x:f>AVERAGE(P6:AA6)</x:f>
        <x:v>0.0003649554940150052</x:v>
      </x:c>
      <x:c r="AC6" s="359" t="n">
        <x:f>SUMPRODUCT(P6:AA6,$P$4:$AA$4)/SUM($P$4:$AA$4)</x:f>
        <x:v>0.00046599515775535427</x:v>
      </x:c>
      <x:c r="AD6" s="359" t="n">
        <x:f>SQRT(SUMSQ(P6:AA6)/12)</x:f>
        <x:v>0.0006441685082716566</x:v>
      </x:c>
      <x:c r="AE6" s="359" t="n">
        <x:f>MAX(P6:AA6)</x:f>
        <x:v>0.001670838294189299</x:v>
      </x:c>
      <x:c r="AF6" s="388" t="n">
        <x:f>COUNTIF(P6:AA6,"&lt;="&amp;'00_Start'!$B$7)</x:f>
        <x:v>10</x:v>
      </x:c>
    </x:row>
    <x:row r="7">
      <x:c r="A7" s="360" t="str">
        <x:f>'01_Models'!B7</x:f>
        <x:v>11:7</x:v>
      </x:c>
      <x:c r="B7" s="362" t="n">
        <x:f>'01_Models'!E7</x:f>
        <x:v>51.84277341263095</x:v>
      </x:c>
      <x:c r="C7" s="361" t="n">
        <x:f>'01_Models'!D7</x:f>
        <x:v>1.5714285714285714</x:v>
      </x:c>
      <x:c r="D7" s="361" t="n">
        <x:f>2*'01_Models'!F7/'01_Models'!G7</x:f>
        <x:v>3.142857142857143</x:v>
      </x:c>
      <x:c r="E7" s="361" t="n">
        <x:f>2*'01_Models'!F7/('01_Models'!G7+2*'01_Models'!I7)</x:f>
        <x:v>0.5772354343727726</x:v>
      </x:c>
      <x:c r="F7" s="361" t="n">
        <x:f>('01_Models'!G7+2*'01_Models'!I7)/(2*'01_Models'!F7)</x:f>
        <x:v>1.7323953805549133</x:v>
      </x:c>
      <x:c r="G7" s="361" t="n">
        <x:f>('01_Models'!G7+2*'01_Models'!I7)/'01_Models'!I7</x:f>
        <x:v>2.4499770425732574</x:v>
      </x:c>
      <x:c r="H7" s="361" t="n">
        <x:f>'01_Models'!I7/'01_Models'!F7</x:f>
        <x:v>1.4142135623730951</x:v>
      </x:c>
      <x:c r="I7" s="361" t="n">
        <x:f>('01_Models'!J7+'01_Models'!F7)/'01_Models'!J7</x:f>
        <x:v>2.235643103863807</x:v>
      </x:c>
      <x:c r="J7" s="361" t="n">
        <x:f>('01_Models'!H7+2*'01_Models'!I7)/('01_Models'!J7+'01_Models'!F7)</x:f>
        <x:v>1.8396263769909913</x:v>
      </x:c>
      <x:c r="K7" s="361" t="n">
        <x:f>'01_Models'!K7/'01_Models'!H7</x:f>
        <x:v>1.902586321496032</x:v>
      </x:c>
      <x:c r="L7" s="361" t="n">
        <x:f>'01_Models'!J7/('01_Models'!J7+'01_Models'!H7)</x:f>
        <x:v>0.6181151430489112</x:v>
      </x:c>
      <x:c r="M7" s="361" t="n">
        <x:f>'01_Models'!J7/'01_Models'!H7</x:f>
        <x:v>1.618590346796805</x:v>
      </x:c>
      <x:c r="N7" s="361" t="n">
        <x:f>2*'01_Models'!E7/(90-'01_Models'!E7)</x:f>
        <x:v>2.7173239802387594</x:v>
      </x:c>
      <x:c r="O7" s="361" t="n">
        <x:f>2*'01_Models'!E7/(90-'01_Models'!E7)-1</x:f>
        <x:v>1.7173239802387594</x:v>
      </x:c>
      <x:c r="P7" s="364" t="n">
        <x:f>ABS(D7-'02_Constants'!$D$6)/'02_Constants'!$D$6</x:f>
        <x:v>0.0004024994347707008</x:v>
      </x:c>
      <x:c r="Q7" s="364" t="n">
        <x:f>ABS(E7-'02_Constants'!$D$7)/'02_Constants'!$D$7</x:f>
        <x:v>0.00003424971365440888</x:v>
      </x:c>
      <x:c r="R7" s="364" t="n">
        <x:f>ABS(F7-'02_Constants'!$D$8)/'02_Constants'!$D$8</x:f>
        <x:v>0.00019893930624340024</x:v>
      </x:c>
      <x:c r="S7" s="364" t="n">
        <x:f>ABS(G7-'02_Constants'!$D$9)/'02_Constants'!$D$9</x:f>
        <x:v>0.00019893930624337723</x:v>
      </x:c>
      <x:c r="T7" s="364" t="n">
        <x:f>ABS(H7-'02_Constants'!$D$10)/'02_Constants'!$D$10</x:f>
        <x:v>0</x:v>
      </x:c>
      <x:c r="U7" s="364" t="n">
        <x:f>ABS(I7-'02_Constants'!$D$11)/'02_Constants'!$D$11</x:f>
        <x:v>0.00019000926638103948</x:v>
      </x:c>
      <x:c r="V7" s="364" t="n">
        <x:f>ABS(J7-'02_Constants'!$D$12)/'02_Constants'!$D$12</x:f>
        <x:v>0.00018464862853361324</x:v>
      </x:c>
      <x:c r="W7" s="364" t="n">
        <x:f>ABS(K7-'02_Constants'!$D$13)/'02_Constants'!$D$13</x:f>
        <x:v>0.0002238183231287067</x:v>
      </x:c>
      <x:c r="X7" s="364" t="n">
        <x:f>ABS(L7-'02_Constants'!$D$14)/'02_Constants'!$D$14</x:f>
        <x:v>0.0001313104141416093</x:v>
      </x:c>
      <x:c r="Y7" s="364" t="n">
        <x:f>ABS(M7-'02_Constants'!$D$15)/'02_Constants'!$D$15</x:f>
        <x:v>0.0003438481829049635</x:v>
      </x:c>
      <x:c r="Z7" s="364" t="n">
        <x:f>ABS(N7-'02_Constants'!$D$16)/'02_Constants'!$D$16</x:f>
        <x:v>0.00035237266800574994</x:v>
      </x:c>
      <x:c r="AA7" s="364" t="n">
        <x:f>ABS(O7-'02_Constants'!$D$17)/'02_Constants'!$D$17</x:f>
        <x:v>0.0005574453529224948</x:v>
      </x:c>
      <x:c r="AB7" s="364" t="n">
        <x:f>AVERAGE(P7:AA7)</x:f>
        <x:v>0.00023484004974417202</x:v>
      </x:c>
      <x:c r="AC7" s="364" t="n">
        <x:f>SUMPRODUCT(P7:AA7,$P$4:$AA$4)/SUM($P$4:$AA$4)</x:f>
        <x:v>0.00027194013223667937</x:v>
      </x:c>
      <x:c r="AD7" s="364" t="n">
        <x:f>SQRT(SUMSQ(P7:AA7)/12)</x:f>
        <x:v>0.0002788386075183033</x:v>
      </x:c>
      <x:c r="AE7" s="364" t="n">
        <x:f>MAX(P7:AA7)</x:f>
        <x:v>0.0005574453529224948</x:v>
      </x:c>
      <x:c r="AF7" s="389" t="n">
        <x:f>COUNTIF(P7:AA7,"&lt;="&amp;'00_Start'!$B$7)</x:f>
        <x:v>12</x:v>
      </x:c>
    </x:row>
    <x:row r="8">
      <x:c r="A8" s="135" t="str">
        <x:f>'01_Models'!B8</x:f>
        <x:v>Mean 51.845°</x:v>
      </x:c>
      <x:c r="B8" s="370" t="n">
        <x:f>'01_Models'!E8</x:f>
        <x:v>51.845</x:v>
      </x:c>
      <x:c r="C8" s="365" t="n">
        <x:f>'01_Models'!D8</x:f>
        <x:v>1.5713028709199628</x:v>
      </x:c>
      <x:c r="D8" s="365" t="n">
        <x:f>2*'01_Models'!F8/'01_Models'!G8</x:f>
        <x:v>3.142605741839926</x:v>
      </x:c>
      <x:c r="E8" s="365" t="n">
        <x:f>2*'01_Models'!F8/('01_Models'!G8+2*'01_Models'!I8)</x:f>
        <x:v>0.5772269532748981</x:v>
      </x:c>
      <x:c r="F8" s="365" t="n">
        <x:f>('01_Models'!G8+2*'01_Models'!I8)/(2*'01_Models'!F8)</x:f>
        <x:v>1.7324208343468688</x:v>
      </x:c>
      <x:c r="G8" s="365" t="n">
        <x:f>('01_Models'!G8+2*'01_Models'!I8)/'01_Models'!I8</x:f>
        <x:v>2.4500130396710547</x:v>
      </x:c>
      <x:c r="H8" s="365" t="n">
        <x:f>'01_Models'!I8/'01_Models'!F8</x:f>
        <x:v>1.4142135623730951</x:v>
      </x:c>
      <x:c r="I8" s="365" t="n">
        <x:f>('01_Models'!J8+'01_Models'!F8)/'01_Models'!J8</x:f>
        <x:v>2.235581988255462</x:v>
      </x:c>
      <x:c r="J8" s="365" t="n">
        <x:f>('01_Models'!H8+2*'01_Models'!I8)/('01_Models'!J8+'01_Models'!F8)</x:f>
        <x:v>1.8395856766436622</x:v>
      </x:c>
      <x:c r="K8" s="365" t="n">
        <x:f>'01_Models'!K8/'01_Models'!H8</x:f>
        <x:v>1.9026544318377572</x:v>
      </x:c>
      <x:c r="L8" s="365" t="n">
        <x:f>'01_Models'!J8/('01_Models'!J8+'01_Models'!H8)</x:f>
        <x:v>0.6181268183775327</x:v>
      </x:c>
      <x:c r="M8" s="365" t="n">
        <x:f>'01_Models'!J8/'01_Models'!H8</x:f>
        <x:v>1.618670407152691</x:v>
      </x:c>
      <x:c r="N8" s="365" t="n">
        <x:f>2*'01_Models'!E8/(90-'01_Models'!E8)</x:f>
        <x:v>2.717599266151225</x:v>
      </x:c>
      <x:c r="O8" s="365" t="n">
        <x:f>2*'01_Models'!E8/(90-'01_Models'!E8)-1</x:f>
        <x:v>1.717599266151225</x:v>
      </x:c>
      <x:c r="P8" s="369" t="n">
        <x:f>ABS(D8-'02_Constants'!$D$6)/'02_Constants'!$D$6</x:f>
        <x:v>0.0003224760055939422</x:v>
      </x:c>
      <x:c r="Q8" s="369" t="n">
        <x:f>ABS(E8-'02_Constants'!$D$7)/'02_Constants'!$D$7</x:f>
        <x:v>0.00001955659565685385</x:v>
      </x:c>
      <x:c r="R8" s="369" t="n">
        <x:f>ABS(F8-'02_Constants'!$D$8)/'02_Constants'!$D$8</x:f>
        <x:v>0.00021363505988081054</x:v>
      </x:c>
      <x:c r="S8" s="369" t="n">
        <x:f>ABS(G8-'02_Constants'!$D$9)/'02_Constants'!$D$9</x:f>
        <x:v>0.00021363505988075465</x:v>
      </x:c>
      <x:c r="T8" s="369" t="n">
        <x:f>ABS(H8-'02_Constants'!$D$10)/'02_Constants'!$D$10</x:f>
        <x:v>0</x:v>
      </x:c>
      <x:c r="U8" s="369" t="n">
        <x:f>ABS(I8-'02_Constants'!$D$11)/'02_Constants'!$D$11</x:f>
        <x:v>0.00021734099733006858</x:v>
      </x:c>
      <x:c r="V8" s="369" t="n">
        <x:f>ABS(J8-'02_Constants'!$D$12)/'02_Constants'!$D$12</x:f>
        <x:v>0.00016252029687805256</x:v>
      </x:c>
      <x:c r="W8" s="369" t="n">
        <x:f>ABS(K8-'02_Constants'!$D$13)/'02_Constants'!$D$13</x:f>
        <x:v>0.00025962515370350753</x:v>
      </x:c>
      <x:c r="X8" s="369" t="n">
        <x:f>ABS(L8-'02_Constants'!$D$14)/'02_Constants'!$D$14</x:f>
        <x:v>0.00015020149268094336</x:v>
      </x:c>
      <x:c r="Y8" s="369" t="n">
        <x:f>ABS(M8-'02_Constants'!$D$15)/'02_Constants'!$D$15</x:f>
        <x:v>0.00039332820399387764</x:v>
      </x:c>
      <x:c r="Z8" s="369" t="n">
        <x:f>ABS(N8-'02_Constants'!$D$16)/'02_Constants'!$D$16</x:f>
        <x:v>0.000251100640365569</x:v>
      </x:c>
      <x:c r="AA8" s="369" t="n">
        <x:f>ABS(O8-'02_Constants'!$D$17)/'02_Constants'!$D$17</x:f>
        <x:v>0.0003972353641383019</x:v>
      </x:c>
      <x:c r="AB8" s="369" t="n">
        <x:f>AVERAGE(P8:AA8)</x:f>
        <x:v>0.00021672123917522348</x:v>
      </x:c>
      <x:c r="AC8" s="369" t="n">
        <x:f>SUMPRODUCT(P8:AA8,$P$4:$AA$4)/SUM($P$4:$AA$4)</x:f>
        <x:v>0.0002452258769280901</x:v>
      </x:c>
      <x:c r="AD8" s="369" t="n">
        <x:f>SQRT(SUMSQ(P8:AA8)/12)</x:f>
        <x:v>0.0002474576258786696</x:v>
      </x:c>
      <x:c r="AE8" s="369" t="n">
        <x:f>MAX(P8:AA8)</x:f>
        <x:v>0.0003972353641383019</x:v>
      </x:c>
      <x:c r="AF8" s="390" t="n">
        <x:f>COUNTIF(P8:AA8,"&lt;="&amp;'00_Start'!$B$7)</x:f>
        <x:v>12</x:v>
      </x:c>
    </x:row>
    <x:row r="9">
      <x:c r="A9" s="135" t="str">
        <x:f>'01_Models'!B9</x:f>
        <x:v>Petrie–Lehner–Cole 51.8504°</x:v>
      </x:c>
      <x:c r="B9" s="370" t="n">
        <x:f>'01_Models'!E9</x:f>
        <x:v>51.8504</x:v>
      </x:c>
      <x:c r="C9" s="365" t="n">
        <x:f>'01_Models'!D9</x:f>
        <x:v>1.5709980493901357</x:v>
      </x:c>
      <x:c r="D9" s="365" t="n">
        <x:f>2*'01_Models'!F9/'01_Models'!G9</x:f>
        <x:v>3.1419960987802713</x:v>
      </x:c>
      <x:c r="E9" s="365" t="n">
        <x:f>2*'01_Models'!F9/('01_Models'!G9+2*'01_Models'!I9)</x:f>
        <x:v>0.5772063821604996</x:v>
      </x:c>
      <x:c r="F9" s="365" t="n">
        <x:f>('01_Models'!G9+2*'01_Models'!I9)/(2*'01_Models'!F9)</x:f>
        <x:v>1.7324825762614962</x:v>
      </x:c>
      <x:c r="G9" s="365" t="n">
        <x:f>('01_Models'!G9+2*'01_Models'!I9)/'01_Models'!I9</x:f>
        <x:v>2.4501003559240875</x:v>
      </x:c>
      <x:c r="H9" s="365" t="n">
        <x:f>'01_Models'!I9/'01_Models'!F9</x:f>
        <x:v>1.4142135623730951</x:v>
      </x:c>
      <x:c r="I9" s="365" t="n">
        <x:f>('01_Models'!J9+'01_Models'!F9)/'01_Models'!J9</x:f>
        <x:v>2.235433760727524</x:v>
      </x:c>
      <x:c r="J9" s="365" t="n">
        <x:f>('01_Models'!H9+2*'01_Models'!I9)/('01_Models'!J9+'01_Models'!F9)</x:f>
        <x:v>1.839486954287751</x:v>
      </x:c>
      <x:c r="K9" s="365" t="n">
        <x:f>'01_Models'!K9/'01_Models'!H9</x:f>
        <x:v>1.9028196559905313</x:v>
      </x:c>
      <x:c r="L9" s="365" t="n">
        <x:f>'01_Models'!J9/('01_Models'!J9+'01_Models'!H9)</x:f>
        <x:v>0.6181551371183928</x:v>
      </x:c>
      <x:c r="M9" s="365" t="n">
        <x:f>'01_Models'!J9/'01_Models'!H9</x:f>
        <x:v>1.6188646154709552</x:v>
      </x:c>
      <x:c r="N9" s="365" t="n">
        <x:f>2*'01_Models'!E9/(90-'01_Models'!E9)</x:f>
        <x:v>2.718267032943989</x:v>
      </x:c>
      <x:c r="O9" s="365" t="n">
        <x:f>2*'01_Models'!E9/(90-'01_Models'!E9)-1</x:f>
        <x:v>1.7182670329439889</x:v>
      </x:c>
      <x:c r="P9" s="369" t="n">
        <x:f>ABS(D9-'02_Constants'!$D$6)/'02_Constants'!$D$6</x:f>
        <x:v>0.00012842059266251075</x:v>
      </x:c>
      <x:c r="Q9" s="369" t="n">
        <x:f>ABS(E9-'02_Constants'!$D$7)/'02_Constants'!$D$7</x:f>
        <x:v>0.000016081928467539377</x:v>
      </x:c>
      <x:c r="R9" s="369" t="n">
        <x:f>ABS(F9-'02_Constants'!$D$8)/'02_Constants'!$D$8</x:f>
        <x:v>0.00024928177091121005</x:v>
      </x:c>
      <x:c r="S9" s="369" t="n">
        <x:f>ABS(G9-'02_Constants'!$D$9)/'02_Constants'!$D$9</x:f>
        <x:v>0.0002492817709111139</x:v>
      </x:c>
      <x:c r="T9" s="369" t="n">
        <x:f>ABS(H9-'02_Constants'!$D$10)/'02_Constants'!$D$10</x:f>
        <x:v>0</x:v>
      </x:c>
      <x:c r="U9" s="369" t="n">
        <x:f>ABS(I9-'02_Constants'!$D$11)/'02_Constants'!$D$11</x:f>
        <x:v>0.0002836303630513291</x:v>
      </x:c>
      <x:c r="V9" s="369" t="n">
        <x:f>ABS(J9-'02_Constants'!$D$12)/'02_Constants'!$D$12</x:f>
        <x:v>0.00010884603666203446</x:v>
      </x:c>
      <x:c r="W9" s="369" t="n">
        <x:f>ABS(K9-'02_Constants'!$D$13)/'02_Constants'!$D$13</x:f>
        <x:v>0.00034648645986330246</x:v>
      </x:c>
      <x:c r="X9" s="369" t="n">
        <x:f>ABS(L9-'02_Constants'!$D$14)/'02_Constants'!$D$14</x:f>
        <x:v>0.0001960221779111324</x:v>
      </x:c>
      <x:c r="Y9" s="369" t="n">
        <x:f>ABS(M9-'02_Constants'!$D$15)/'02_Constants'!$D$15</x:f>
        <x:v>0.0005133555455791237</x:v>
      </x:c>
      <x:c r="Z9" s="369" t="n">
        <x:f>ABS(N9-'02_Constants'!$D$16)/'02_Constants'!$D$16</x:f>
        <x:v>0.000005442965810730208</x:v>
      </x:c>
      <x:c r="AA9" s="369" t="n">
        <x:f>ABS(O9-'02_Constants'!$D$17)/'02_Constants'!$D$17</x:f>
        <x:v>0.000008610645128861308</x:v>
      </x:c>
      <x:c r="AB9" s="369" t="n">
        <x:f>AVERAGE(P9:AA9)</x:f>
        <x:v>0.00017545502141324065</x:v>
      </x:c>
      <x:c r="AC9" s="369" t="n">
        <x:f>SUMPRODUCT(P9:AA9,$P$4:$AA$4)/SUM($P$4:$AA$4)</x:f>
        <x:v>0.0001822218467113544</x:v>
      </x:c>
      <x:c r="AD9" s="369" t="n">
        <x:f>SQRT(SUMSQ(P9:AA9)/12)</x:f>
        <x:v>0.00023370960766278532</x:v>
      </x:c>
      <x:c r="AE9" s="369" t="n">
        <x:f>MAX(P9:AA9)</x:f>
        <x:v>0.0005133555455791237</x:v>
      </x:c>
      <x:c r="AF9" s="390" t="n">
        <x:f>COUNTIF(P9:AA9,"&lt;="&amp;'00_Start'!$B$7)</x:f>
        <x:v>12</x:v>
      </x:c>
    </x:row>
    <x:row r="10">
      <x:c r="A10" s="135" t="str">
        <x:f>'01_Models'!B10</x:f>
        <x:v>Exact π</x:v>
      </x:c>
      <x:c r="B10" s="370" t="n">
        <x:f>'01_Models'!E10</x:f>
        <x:v>51.85397401277745</x:v>
      </x:c>
      <x:c r="C10" s="365" t="n">
        <x:f>'01_Models'!D10</x:f>
        <x:v>1.5707963267948966</x:v>
      </x:c>
      <x:c r="D10" s="365" t="n">
        <x:f>2*'01_Models'!F10/'01_Models'!G10</x:f>
        <x:v>3.141592653589793</x:v>
      </x:c>
      <x:c r="E10" s="365" t="n">
        <x:f>2*'01_Models'!F10/('01_Models'!G10+2*'01_Models'!I10)</x:f>
        <x:v>0.5771927651732247</x:v>
      </x:c>
      <x:c r="F10" s="365" t="n">
        <x:f>('01_Models'!G10+2*'01_Models'!I10)/(2*'01_Models'!F10)</x:f>
        <x:v>1.732523448556886</x:v>
      </x:c>
      <x:c r="G10" s="365" t="n">
        <x:f>('01_Models'!G10+2*'01_Models'!I10)/'01_Models'!I10</x:f>
        <x:v>2.450158158078553</x:v>
      </x:c>
      <x:c r="H10" s="365" t="n">
        <x:f>'01_Models'!I10/'01_Models'!F10</x:f>
        <x:v>1.4142135623730951</x:v>
      </x:c>
      <x:c r="I10" s="365" t="n">
        <x:f>('01_Models'!J10+'01_Models'!F10)/'01_Models'!J10</x:f>
        <x:v>2.235335649677712</x:v>
      </x:c>
      <x:c r="J10" s="365" t="n">
        <x:f>('01_Models'!H10+2*'01_Models'!I10)/('01_Models'!J10+'01_Models'!F10)</x:f>
        <x:v>1.8394216032594823</x:v>
      </x:c>
      <x:c r="K10" s="365" t="n">
        <x:f>'01_Models'!K10/'01_Models'!H10</x:f>
        <x:v>1.902929041839817</x:v>
      </x:c>
      <x:c r="L10" s="365" t="n">
        <x:f>'01_Models'!J10/('01_Models'!J10+'01_Models'!H10)</x:f>
        <x:v>0.6181738825766748</x:v>
      </x:c>
      <x:c r="M10" s="365" t="n">
        <x:f>'01_Models'!J10/'01_Models'!H10</x:f>
        <x:v>1.618993186606233</x:v>
      </x:c>
      <x:c r="N10" s="365" t="n">
        <x:f>2*'01_Models'!E10/(90-'01_Models'!E10)</x:f>
        <x:v>2.7187091011864006</x:v>
      </x:c>
      <x:c r="O10" s="365" t="n">
        <x:f>2*'01_Models'!E10/(90-'01_Models'!E10)-1</x:f>
        <x:v>1.7187091011864006</x:v>
      </x:c>
      <x:c r="P10" s="369" t="n">
        <x:f>ABS(D10-'02_Constants'!$D$6)/'02_Constants'!$D$6</x:f>
        <x:v>0</x:v>
      </x:c>
      <x:c r="Q10" s="369" t="n">
        <x:f>ABS(E10-'02_Constants'!$D$7)/'02_Constants'!$D$7</x:f>
        <x:v>0.00003967274227053962</x:v>
      </x:c>
      <x:c r="R10" s="369" t="n">
        <x:f>ABS(F10-'02_Constants'!$D$8)/'02_Constants'!$D$8</x:f>
        <x:v>0.0002728794016568731</x:v>
      </x:c>
      <x:c r="S10" s="369" t="n">
        <x:f>ABS(G10-'02_Constants'!$D$9)/'02_Constants'!$D$9</x:f>
        <x:v>0.000272879401656779</x:v>
      </x:c>
      <x:c r="T10" s="369" t="n">
        <x:f>ABS(H10-'02_Constants'!$D$10)/'02_Constants'!$D$10</x:f>
        <x:v>0</x:v>
      </x:c>
      <x:c r="U10" s="369" t="n">
        <x:f>ABS(I10-'02_Constants'!$D$11)/'02_Constants'!$D$11</x:f>
        <x:v>0.00032750695839600414</x:v>
      </x:c>
      <x:c r="V10" s="369" t="n">
        <x:f>ABS(J10-'02_Constants'!$D$12)/'02_Constants'!$D$12</x:f>
        <x:v>0.00007331540062423665</x:v>
      </x:c>
      <x:c r="W10" s="369" t="n">
        <x:f>ABS(K10-'02_Constants'!$D$13)/'02_Constants'!$D$13</x:f>
        <x:v>0.00040399256647564286</x:v>
      </x:c>
      <x:c r="X10" s="369" t="n">
        <x:f>ABS(L10-'02_Constants'!$D$14)/'02_Constants'!$D$14</x:f>
        <x:v>0.00022635296654620782</x:v>
      </x:c>
      <x:c r="Y10" s="369" t="n">
        <x:f>ABS(M10-'02_Constants'!$D$15)/'02_Constants'!$D$15</x:f>
        <x:v>0.0005928168771530057</x:v>
      </x:c>
      <x:c r="Z10" s="369" t="n">
        <x:f>ABS(N10-'02_Constants'!$D$16)/'02_Constants'!$D$16</x:f>
        <x:v>0.00015718485216735528</x:v>
      </x:c>
      <x:c r="AA10" s="369" t="n">
        <x:f>ABS(O10-'02_Constants'!$D$17)/'02_Constants'!$D$17</x:f>
        <x:v>0.00024866277480145463</x:v>
      </x:c>
      <x:c r="AB10" s="369" t="n">
        <x:f>AVERAGE(P10:AA10)</x:f>
        <x:v>0.00021793866181234157</x:v>
      </x:c>
      <x:c r="AC10" s="369" t="n">
        <x:f>SUMPRODUCT(P10:AA10,$P$4:$AA$4)/SUM($P$4:$AA$4)</x:f>
        <x:v>0.0002096002049684591</x:v>
      </x:c>
      <x:c r="AD10" s="369" t="n">
        <x:f>SQRT(SUMSQ(P10:AA10)/12)</x:f>
        <x:v>0.00027621760448588554</x:v>
      </x:c>
      <x:c r="AE10" s="369" t="n">
        <x:f>MAX(P10:AA10)</x:f>
        <x:v>0.0005928168771530057</x:v>
      </x:c>
      <x:c r="AF10" s="390" t="n">
        <x:f>COUNTIF(P10:AA10,"&lt;="&amp;'00_Start'!$B$7)</x:f>
        <x:v>12</x:v>
      </x:c>
    </x:row>
    <x:row r="11" ht="32" customHeight="1">
      <x:c r="A11" s="546" t="str">
        <x:f>'01_Models'!B11</x:f>
        <x:v>Classical cone — generator 51.84°</x:v>
      </x:c>
      <x:c r="B11" s="524" t="n">
        <x:f>'01_Models'!E11</x:f>
        <x:v>51.84</x:v>
      </x:c>
      <x:c r="C11" s="524" t="n">
        <x:f>'01_Models'!D11</x:f>
        <x:v>1.571585153329536</x:v>
      </x:c>
      <x:c r="D11" s="524" t="n">
        <x:f>2*'01_Models'!F11/'01_Models'!G11</x:f>
        <x:v>3.143170306659072</x:v>
      </x:c>
      <x:c r="E11" s="524" t="n">
        <x:f>2*'01_Models'!F11/('01_Models'!G11+2*'01_Models'!I11)</x:f>
        <x:v>0.5772459975098668</x:v>
      </x:c>
      <x:c r="F11" s="524" t="n">
        <x:f>('01_Models'!G11+2*'01_Models'!I11)/(2*'01_Models'!F11)</x:f>
        <x:v>1.7323636791139587</x:v>
      </x:c>
      <x:c r="G11" s="524" t="n">
        <x:f>('01_Models'!G11+2*'01_Models'!I11)/'01_Models'!I11</x:f>
        <x:v>2.449932209965513</x:v>
      </x:c>
      <x:c r="H11" s="524" t="n">
        <x:f>'01_Models'!I11/'01_Models'!F11</x:f>
        <x:v>1.4142135623730951</x:v>
      </x:c>
      <x:c r="I11" s="524" t="n">
        <x:f>('01_Models'!J11+'01_Models'!F11)/'01_Models'!J11</x:f>
        <x:v>2.235719226180669</x:v>
      </x:c>
      <x:c r="J11" s="524" t="n">
        <x:f>('01_Models'!H11+2*'01_Models'!I11)/('01_Models'!J11+'01_Models'!F11)</x:f>
        <x:v>1.8396770680442043</x:v>
      </x:c>
      <x:c r="K11" s="524" t="n">
        <x:f>'01_Models'!K11/'01_Models'!H11</x:f>
        <x:v>1.9025014976382026</x:v>
      </x:c>
      <x:c r="L11" s="524" t="n">
        <x:f>'01_Models'!J11/('01_Models'!J11+'01_Models'!H11)</x:f>
        <x:v>0.6181006015038985</x:v>
      </x:c>
      <x:c r="M11" s="524" t="n">
        <x:f>'01_Models'!J11/'01_Models'!H11</x:f>
        <x:v>1.6184906389953584</x:v>
      </x:c>
      <x:c r="N11" s="524" t="n">
        <x:f>2*'01_Models'!E11/(90-'01_Models'!E11)</x:f>
        <x:v>2.716981132075472</x:v>
      </x:c>
      <x:c r="O11" s="524" t="n">
        <x:f>2*'01_Models'!E11/(90-'01_Models'!E11)-1</x:f>
        <x:v>1.716981132075472</x:v>
      </x:c>
      <x:c r="P11" s="525" t="n">
        <x:f>ABS(D11-'02_Constants'!$D$6)/'02_Constants'!$D$6</x:f>
        <x:v>0.0005021825689196483</x:v>
      </x:c>
      <x:c r="Q11" s="525" t="n">
        <x:f>ABS(E11-'02_Constants'!$D$7)/'02_Constants'!$D$7</x:f>
        <x:v>0.000052549870314304444</x:v>
      </x:c>
      <x:c r="R11" s="525" t="n">
        <x:f>ABS(F11-'02_Constants'!$D$8)/'02_Constants'!$D$8</x:f>
        <x:v>0.00018063647077459422</x:v>
      </x:c>
      <x:c r="S11" s="525" t="n">
        <x:f>ABS(G11-'02_Constants'!$D$9)/'02_Constants'!$D$9</x:f>
        <x:v>0.00018063647077466426</x:v>
      </x:c>
      <x:c r="T11" s="525" t="n">
        <x:f>ABS(H11-'02_Constants'!$D$10)/'02_Constants'!$D$10</x:f>
        <x:v>0</x:v>
      </x:c>
      <x:c r="U11" s="525" t="n">
        <x:f>ABS(I11-'02_Constants'!$D$11)/'02_Constants'!$D$11</x:f>
        <x:v>0.0001559663313594254</x:v>
      </x:c>
      <x:c r="V11" s="525" t="n">
        <x:f>ABS(J11-'02_Constants'!$D$12)/'02_Constants'!$D$12</x:f>
        <x:v>0.0002122087972073005</x:v>
      </x:c>
      <x:c r="W11" s="525" t="n">
        <x:f>ABS(K11-'02_Constants'!$D$13)/'02_Constants'!$D$13</x:f>
        <x:v>0.00017922489679934512</x:v>
      </x:c>
      <x:c r="X11" s="525" t="n">
        <x:f>ABS(L11-'02_Constants'!$D$14)/'02_Constants'!$D$14</x:f>
        <x:v>0.00010778170006197583</x:v>
      </x:c>
      <x:c r="Y11" s="525" t="n">
        <x:f>ABS(M11-'02_Constants'!$D$15)/'02_Constants'!$D$15</x:f>
        <x:v>0.00028222537266741666</x:v>
      </x:c>
      <x:c r="Z11" s="525" t="n">
        <x:f>ABS(N11-'02_Constants'!$D$16)/'02_Constants'!$D$16</x:f>
        <x:v>0.0004784994587225909</x:v>
      </x:c>
      <x:c r="AA11" s="525" t="n">
        <x:f>ABS(O11-'02_Constants'!$D$17)/'02_Constants'!$D$17</x:f>
        <x:v>0.0007569749979487195</x:v>
      </x:c>
      <x:c r="AB11" s="525" t="n">
        <x:f>AVERAGE(P11:AA11)</x:f>
        <x:v>0.0002574072446291654</x:v>
      </x:c>
      <x:c r="AC11" s="525" t="n">
        <x:f>SUMPRODUCT(P11:AA11,$P$4:$AA$4)/SUM($P$4:$AA$4)</x:f>
        <x:v>0.00030521426054101275</x:v>
      </x:c>
      <x:c r="AD11" s="525" t="n">
        <x:f>SQRT(SUMSQ(P11:AA11)/12)</x:f>
        <x:v>0.0003310247296489627</x:v>
      </x:c>
      <x:c r="AE11" s="525" t="n">
        <x:f>MAX(P11:AA11)</x:f>
        <x:v>0.0007569749979487195</x:v>
      </x:c>
      <x:c r="AF11" s="547" t="n">
        <x:f>COUNTIF(P11:AA11,"&lt;="&amp;'00_Start'!$B$7)</x:f>
        <x:v>12</x:v>
      </x:c>
    </x:row>
    <x:row r="12" ht="32" customHeight="1">
      <x:c r="A12" s="550" t="str">
        <x:f>'01_Models'!B12</x:f>
        <x:v>Golden Φ Egg — exact φ</x:v>
      </x:c>
      <x:c r="B12" s="534" t="n">
        <x:f>'01_Models'!E12</x:f>
        <x:v>51.79531925589765</x:v>
      </x:c>
      <x:c r="C12" s="534" t="n">
        <x:f>'01_Models'!D12</x:f>
        <x:v>1.574109391240066</x:v>
      </x:c>
      <x:c r="D12" s="550" t="n">
        <x:f>2*'01_Models'!F12/'01_Models'!G12</x:f>
        <x:v>3.148218782480132</x:v>
      </x:c>
      <x:c r="E12" s="550" t="n">
        <x:f>2*'01_Models'!F12/('01_Models'!G12+2*'01_Models'!I12)</x:f>
        <x:v>0.5774160477470438</x:v>
      </x:c>
      <x:c r="F12" s="550" t="n">
        <x:f>('01_Models'!G12+2*'01_Models'!I12)/(2*'01_Models'!F12)</x:f>
        <x:v>1.731853494376871</x:v>
      </x:c>
      <x:c r="G12" s="550" t="n">
        <x:f>('01_Models'!G12+2*'01_Models'!I12)/'01_Models'!I12</x:f>
        <x:v>2.4492106997910077</x:v>
      </x:c>
      <x:c r="H12" s="550" t="n">
        <x:f>'01_Models'!I12/'01_Models'!F12</x:f>
        <x:v>1.4142135623730951</x:v>
      </x:c>
      <x:c r="I12" s="550" t="n">
        <x:f>('01_Models'!J12+'01_Models'!F12)/'01_Models'!J12</x:f>
        <x:v>2.236945186796231</x:v>
      </x:c>
      <x:c r="J12" s="550" t="n">
        <x:f>('01_Models'!H12+2*'01_Models'!I12)/('01_Models'!J12+'01_Models'!F12)</x:f>
        <x:v>1.8404929793802105</x:v>
      </x:c>
      <x:c r="K12" s="550" t="n">
        <x:f>'01_Models'!K12/'01_Models'!H12</x:f>
        <x:v>1.9011370341071725</x:v>
      </x:c>
      <x:c r="L12" s="550" t="n">
        <x:f>'01_Models'!J12/('01_Models'!J12+'01_Models'!H12)</x:f>
        <x:v>0.6178665020829414</x:v>
      </x:c>
      <x:c r="M12" s="550" t="n">
        <x:f>'01_Models'!J12/'01_Models'!H12</x:f>
        <x:v>1.6168865212048174</x:v>
      </x:c>
      <x:c r="N12" s="550" t="n">
        <x:f>2*'01_Models'!E12/(90-'01_Models'!E12)</x:f>
        <x:v>2.7114645769625123</x:v>
      </x:c>
      <x:c r="O12" s="550" t="n">
        <x:f>2*'01_Models'!E12/(90-'01_Models'!E12)-1</x:f>
        <x:v>1.7114645769625123</x:v>
      </x:c>
      <x:c r="P12" s="536" t="n">
        <x:f>ABS(D12-'02_Constants'!$D$6)/'02_Constants'!$D$6</x:f>
        <x:v>0.0021091623329229626</x:v>
      </x:c>
      <x:c r="Q12" s="536" t="n">
        <x:f>ABS(E12-'02_Constants'!$D$7)/'02_Constants'!$D$7</x:f>
        <x:v>0.0003471542054305149</x:v>
      </x:c>
      <x:c r="R12" s="536" t="n">
        <x:f>ABS(F12-'02_Constants'!$D$8)/'02_Constants'!$D$8</x:f>
        <x:v>0.00011391882451939192</x:v>
      </x:c>
      <x:c r="S12" s="536" t="n">
        <x:f>ABS(G12-'02_Constants'!$D$9)/'02_Constants'!$D$9</x:f>
        <x:v>0.00011391882451939975</x:v>
      </x:c>
      <x:c r="T12" s="536" t="n">
        <x:f>ABS(H12-'02_Constants'!$D$10)/'02_Constants'!$D$10</x:f>
        <x:v>0</x:v>
      </x:c>
      <x:c r="U12" s="536" t="n">
        <x:f>ABS(I12-'02_Constants'!$D$11)/'02_Constants'!$D$11</x:f>
        <x:v>0.00039229992346740555</x:v>
      </x:c>
      <x:c r="V12" s="536" t="n">
        <x:f>ABS(J12-'02_Constants'!$D$12)/'02_Constants'!$D$12</x:f>
        <x:v>0.0006558108259247981</x:v>
      </x:c>
      <x:c r="W12" s="536" t="n">
        <x:f>ABS(K12-'02_Constants'!$D$13)/'02_Constants'!$D$13</x:f>
        <x:v>0.0005380981006121437</x:v>
      </x:c>
      <x:c r="X12" s="536" t="n">
        <x:f>ABS(L12-'02_Constants'!$D$14)/'02_Constants'!$D$14</x:f>
        <x:v>0.00027099911979326543</x:v>
      </x:c>
      <x:c r="Y12" s="536" t="n">
        <x:f>ABS(M12-'02_Constants'!$D$15)/'02_Constants'!$D$15</x:f>
        <x:v>0.000709173943845329</x:v>
      </x:c>
      <x:c r="Z12" s="536" t="n">
        <x:f>ABS(N12-'02_Constants'!$D$16)/'02_Constants'!$D$16</x:f>
        <x:v>0.0025079266708696595</x:v>
      </x:c>
      <x:c r="AA12" s="536" t="n">
        <x:f>ABS(O12-'02_Constants'!$D$17)/'02_Constants'!$D$17</x:f>
        <x:v>0.003967481575852137</x:v>
      </x:c>
      <x:c r="AB12" s="536" t="n">
        <x:f>AVERAGE(P12:AA12)</x:f>
        <x:v>0.0009771620289797504</x:v>
      </x:c>
      <x:c r="AC12" s="536" t="n">
        <x:f>SUMPRODUCT(P12:AA12,$P$4:$AA$4)/SUM($P$4:$AA$4)</x:f>
        <x:v>0.0011983217216687619</x:v>
      </x:c>
      <x:c r="AD12" s="536" t="n">
        <x:f>SQRT(SUMSQ(P12:AA12)/12)</x:f>
        <x:v>0.001529584580534515</x:v>
      </x:c>
      <x:c r="AE12" s="536" t="n">
        <x:f>MAX(P12:AA12)</x:f>
        <x:v>0.003967481575852137</x:v>
      </x:c>
      <x:c r="AF12" s="551" t="n">
        <x:f>COUNTIF(P12:AA12,"&lt;="&amp;'00_Start'!$B$7)</x:f>
        <x:v>9</x:v>
      </x:c>
    </x:row>
    <x:row r="13" ht="32" customHeight="1">
      <x:c r="A13" s="552" t="str">
        <x:f>'01_Models'!B13</x:f>
        <x:v>Custom ratio</x:v>
      </x:c>
      <x:c r="B13" s="539" t="n">
        <x:f>'01_Models'!E13</x:f>
        <x:v>51.86808632439829</x:v>
      </x:c>
      <x:c r="C13" s="539" t="n">
        <x:f>'01_Models'!D13</x:f>
        <x:v>1.57</x:v>
      </x:c>
      <x:c r="D13" s="552" t="n">
        <x:f>2*'01_Models'!F13/'01_Models'!G13</x:f>
        <x:v>3.14</x:v>
      </x:c>
      <x:c r="E13" s="552" t="n">
        <x:f>2*'01_Models'!F13/('01_Models'!G13+2*'01_Models'!I13)</x:f>
        <x:v>0.577138982412377</x:v>
      </x:c>
      <x:c r="F13" s="552" t="n">
        <x:f>('01_Models'!G13+2*'01_Models'!I13)/(2*'01_Models'!F13)</x:f>
        <x:v>1.732684899952713</x:v>
      </x:c>
      <x:c r="G13" s="552" t="n">
        <x:f>('01_Models'!G13+2*'01_Models'!I13)/'01_Models'!I13</x:f>
        <x:v>2.4503864848321957</x:v>
      </x:c>
      <x:c r="H13" s="552" t="n">
        <x:f>'01_Models'!I13/'01_Models'!F13</x:f>
        <x:v>1.4142135623730951</x:v>
      </x:c>
      <x:c r="I13" s="552" t="n">
        <x:f>('01_Models'!J13+'01_Models'!F13)/'01_Models'!J13</x:f>
        <x:v>2.234948202395378</x:v>
      </x:c>
      <x:c r="J13" s="552" t="n">
        <x:f>('01_Models'!H13+2*'01_Models'!I13)/('01_Models'!J13+'01_Models'!F13)</x:f>
        <x:v>1.8391634714861997</x:v>
      </x:c>
      <x:c r="K13" s="552" t="n">
        <x:f>'01_Models'!K13/'01_Models'!H13</x:f>
        <x:v>1.9033612073792021</x:v>
      </x:c>
      <x:c r="L13" s="552" t="n">
        <x:f>'01_Models'!J13/('01_Models'!J13+'01_Models'!H13)</x:f>
        <x:v>0.6182479207917649</x:v>
      </x:c>
      <x:c r="M13" s="552" t="n">
        <x:f>'01_Models'!J13/'01_Models'!H13</x:f>
        <x:v>1.6195011224929774</x:v>
      </x:c>
      <x:c r="N13" s="552" t="n">
        <x:f>2*'01_Models'!E13/(90-'01_Models'!E13)</x:f>
        <x:v>2.720455457108911</x:v>
      </x:c>
      <x:c r="O13" s="552" t="n">
        <x:f>2*'01_Models'!E13/(90-'01_Models'!E13)-1</x:f>
        <x:v>1.720455457108911</x:v>
      </x:c>
      <x:c r="P13" s="541" t="n">
        <x:f>ABS(D13-'02_Constants'!$D$6)/'02_Constants'!$D$6</x:f>
        <x:v>0.0005069573828972128</x:v>
      </x:c>
      <x:c r="Q13" s="541" t="n">
        <x:f>ABS(E13-'02_Constants'!$D$7)/'02_Constants'!$D$7</x:f>
        <x:v>0.00013284893986531497</x:v>
      </x:c>
      <x:c r="R13" s="541" t="n">
        <x:f>ABS(F13-'02_Constants'!$D$8)/'02_Constants'!$D$8</x:f>
        <x:v>0.00036609340849864215</x:v>
      </x:c>
      <x:c r="S13" s="541" t="n">
        <x:f>ABS(G13-'02_Constants'!$D$9)/'02_Constants'!$D$9</x:f>
        <x:v>0.0003660934084985768</x:v>
      </x:c>
      <x:c r="T13" s="541" t="n">
        <x:f>ABS(H13-'02_Constants'!$D$10)/'02_Constants'!$D$10</x:f>
        <x:v>0</x:v>
      </x:c>
      <x:c r="U13" s="541" t="n">
        <x:f>ABS(I13-'02_Constants'!$D$11)/'02_Constants'!$D$11</x:f>
        <x:v>0.0005007786505953676</x:v>
      </x:c>
      <x:c r="V13" s="541" t="n">
        <x:f>ABS(J13-'02_Constants'!$D$12)/'02_Constants'!$D$12</x:f>
        <x:v>0.00006702800833623472</x:v>
      </x:c>
      <x:c r="W13" s="541" t="n">
        <x:f>ABS(K13-'02_Constants'!$D$13)/'02_Constants'!$D$13</x:f>
        <x:v>0.0006311897564625453</x:v>
      </x:c>
      <x:c r="X13" s="541" t="n">
        <x:f>ABS(L13-'02_Constants'!$D$14)/'02_Constants'!$D$14</x:f>
        <x:v>0.0003461493150283826</x:v>
      </x:c>
      <x:c r="Y13" s="541" t="n">
        <x:f>ABS(M13-'02_Constants'!$D$15)/'02_Constants'!$D$15</x:f>
        <x:v>0.000906738519266837</x:v>
      </x:c>
      <x:c r="Z13" s="541" t="n">
        <x:f>ABS(N13-'02_Constants'!$D$16)/'02_Constants'!$D$16</x:f>
        <x:v>0.0007996332930269121</x:v>
      </x:c>
      <x:c r="AA13" s="541" t="n">
        <x:f>ABS(O13-'02_Constants'!$D$17)/'02_Constants'!$D$17</x:f>
        <x:v>0.0012650012436057894</x:v>
      </x:c>
      <x:c r="AB13" s="541" t="n">
        <x:f>AVERAGE(P13:AA13)</x:f>
        <x:v>0.0004907093271734846</x:v>
      </x:c>
      <x:c r="AC13" s="541" t="n">
        <x:f>SUMPRODUCT(P13:AA13,$P$4:$AA$4)/SUM($P$4:$AA$4)</x:f>
        <x:v>0.0005183988605438973</x:v>
      </x:c>
      <x:c r="AD13" s="541" t="n">
        <x:f>SQRT(SUMSQ(P13:AA13)/12)</x:f>
        <x:v>0.0006040151457886195</x:v>
      </x:c>
      <x:c r="AE13" s="541" t="n">
        <x:f>MAX(P13:AA13)</x:f>
        <x:v>0.0012650012436057894</x:v>
      </x:c>
      <x:c r="AF13" s="553" t="n">
        <x:f>COUNTIF(P13:AA13,"&lt;="&amp;'00_Start'!$B$7)</x:f>
        <x:v>11</x:v>
      </x:c>
    </x:row>
  </x:sheetData>
  <x:mergeCells>
    <x:mergeCell ref="A1:AF2"/>
    <x:mergeCell ref="A3:AF3"/>
  </x:mergeCells>
  <x:conditionalFormatting sqref="P6:AA11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ee99f0254fa4a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8" hidden="0" customWidth="1"/>
  </x:cols>
  <x:sheetData>
    <x:row r="1" ht="30" customHeight="1">
      <x:c r="A1" s="126" t="str">
        <x:v>Multi-criteria consensus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</x:row>
    <x:row r="3" ht="34" customHeight="1">
      <x:c r="A3" s="128" t="str">
        <x:v>The combined score explicitly depends on the weights on the Start sheet. It can reward the simplicity of 11:7 without hiding models that fit the numbers more closely.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</x:row>
    <x:row r="5" ht="32" customHeight="1">
      <x:c r="A5" s="129" t="str">
        <x:v>Model</x:v>
      </x:c>
      <x:c r="B5" s="150" t="str">
        <x:v>Angle [°]</x:v>
      </x:c>
      <x:c r="C5" s="150" t="str">
        <x:v>Mean error across 12</x:v>
      </x:c>
      <x:c r="D5" s="150" t="str">
        <x:v>Independent error</x:v>
      </x:c>
      <x:c r="E5" s="150" t="str">
        <x:v>RMS</x:v>
      </x:c>
      <x:c r="F5" s="150" t="str">
        <x:v>Maximum</x:v>
      </x:c>
      <x:c r="G5" s="150" t="str">
        <x:v>Matches</x:v>
      </x:c>
      <x:c r="H5" s="150" t="str">
        <x:v>|Δ observation| [°]</x:v>
      </x:c>
      <x:c r="I5" s="150" t="str">
        <x:v>Best p/q (q≤20)</x:v>
      </x:c>
      <x:c r="J5" s="150" t="str">
        <x:v>Fraction error</x:v>
      </x:c>
      <x:c r="K5" s="150" t="str">
        <x:v>Numerical assessment</x:v>
      </x:c>
      <x:c r="L5" s="150" t="str">
        <x:v>Measurement assessment</x:v>
      </x:c>
      <x:c r="M5" s="150" t="str">
        <x:v>Fraction assessment</x:v>
      </x:c>
      <x:c r="N5" s="150" t="str">
        <x:v>Robustness [%]</x:v>
      </x:c>
      <x:c r="O5" s="150" t="str">
        <x:v>Combined score</x:v>
      </x:c>
      <x:c r="P5" s="130" t="str">
        <x:v>Interpretation</x:v>
      </x:c>
    </x:row>
    <x:row r="6">
      <x:c r="A6" s="131" t="str">
        <x:f>'03_12_Errors'!A6</x:f>
        <x:v>Exact φ</x:v>
      </x:c>
      <x:c r="B6" s="356" t="n">
        <x:f>'03_12_Errors'!B6</x:f>
        <x:v>51.827292372987756</x:v>
      </x:c>
      <x:c r="C6" s="359" t="n">
        <x:f>'03_12_Errors'!AB6</x:f>
        <x:v>0.0003649554940150052</x:v>
      </x:c>
      <x:c r="D6" s="359" t="n">
        <x:f>'03_12_Errors'!AC6</x:f>
        <x:v>0.00046599515775535427</x:v>
      </x:c>
      <x:c r="E6" s="359" t="n">
        <x:f>'03_12_Errors'!AD6</x:f>
        <x:v>0.0006441685082716566</x:v>
      </x:c>
      <x:c r="F6" s="359" t="n">
        <x:f>'03_12_Errors'!AE6</x:f>
        <x:v>0.001670838294189299</x:v>
      </x:c>
      <x:c r="G6" s="358" t="n">
        <x:f>'03_12_Errors'!AF6</x:f>
        <x:v>10</x:v>
      </x:c>
      <x:c r="H6" s="356" t="n">
        <x:f>'01_Models'!S6</x:f>
        <x:v>0.01670762701224504</x:v>
      </x:c>
      <x:c r="I6" s="358" t="str">
        <x:f>'01_Models'!O6&amp;"/"&amp;'01_Models'!P6</x:f>
        <x:v>11/7</x:v>
      </x:c>
      <x:c r="J6" s="359" t="n">
        <x:f>'01_Models'!R6</x:f>
        <x:v>0.0005559896675172488</x:v>
      </x:c>
      <x:c r="K6" s="392" t="n">
        <x:f>MAX(0,100*(1-D6/'00_Start'!$B$7))</x:f>
        <x:v>53.40048422446457</x:v>
      </x:c>
      <x:c r="L6" s="392" t="n">
        <x:f>MAX(0,100*(1-H6/'00_Start'!$B$9))</x:f>
        <x:v>16.461864938774795</x:v>
      </x:c>
      <x:c r="M6" s="392" t="n">
        <x:f>100/(1+(J6/'00_Start'!$B$13)^2)/(1+0.01*MAX('01_Models'!P6-7,0))</x:f>
        <x:v>3.1335731586101803</x:v>
      </x:c>
      <x:c r="N6" s="392" t="n">
        <x:f>IFERROR(100*COUNTIFS('05_Angle_Scan'!$A$6:$A$246,"&gt;="&amp;B6-'00_Start'!$B$9,'05_Angle_Scan'!$A$6:$A$246,"&lt;="&amp;B6+'00_Start'!$B$9,'05_Angle_Scan'!$S$6:$S$246,12)/COUNTIFS('05_Angle_Scan'!$A$6:$A$246,"&gt;="&amp;B6-'00_Start'!$B$9,'05_Angle_Scan'!$A$6:$A$246,"&lt;="&amp;B6+'00_Start'!$B$9),0)</x:f>
        <x:v>26.25</x:v>
      </x:c>
      <x:c r="O6" s="392" t="n">
        <x:f>K6*'00_Start'!$E$6+L6*'00_Start'!$E$7+M6*'00_Start'!$E$8+N6*'00_Start'!$E$9</x:f>
        <x:v>27.52652900290884</x:v>
      </x:c>
      <x:c r="P6" s="131" t="str">
        <x:v>Ideal φ: exact relations of the golden-ratio family.</x:v>
      </x:c>
    </x:row>
    <x:row r="7">
      <x:c r="A7" s="360" t="str">
        <x:f>'03_12_Errors'!A7</x:f>
        <x:v>11:7</x:v>
      </x:c>
      <x:c r="B7" s="362" t="n">
        <x:f>'03_12_Errors'!B7</x:f>
        <x:v>51.84277341263095</x:v>
      </x:c>
      <x:c r="C7" s="364" t="n">
        <x:f>'03_12_Errors'!AB7</x:f>
        <x:v>0.00023484004974417202</x:v>
      </x:c>
      <x:c r="D7" s="364" t="n">
        <x:f>'03_12_Errors'!AC7</x:f>
        <x:v>0.00027194013223667937</x:v>
      </x:c>
      <x:c r="E7" s="364" t="n">
        <x:f>'03_12_Errors'!AD7</x:f>
        <x:v>0.0002788386075183033</x:v>
      </x:c>
      <x:c r="F7" s="364" t="n">
        <x:f>'03_12_Errors'!AE7</x:f>
        <x:v>0.0005574453529224948</x:v>
      </x:c>
      <x:c r="G7" s="360" t="n">
        <x:f>'03_12_Errors'!AF7</x:f>
        <x:v>12</x:v>
      </x:c>
      <x:c r="H7" s="362" t="n">
        <x:f>'01_Models'!S7</x:f>
        <x:v>0.0012265873690537887</x:v>
      </x:c>
      <x:c r="I7" s="360" t="str">
        <x:f>'01_Models'!O7&amp;"/"&amp;'01_Models'!P7</x:f>
        <x:v>11/7</x:v>
      </x:c>
      <x:c r="J7" s="364" t="n">
        <x:f>'01_Models'!R7</x:f>
        <x:v>0</x:v>
      </x:c>
      <x:c r="K7" s="393" t="n">
        <x:f>MAX(0,100*(1-D7/'00_Start'!$B$7))</x:f>
        <x:v>72.80598677633206</x:v>
      </x:c>
      <x:c r="L7" s="393" t="n">
        <x:f>MAX(0,100*(1-H7/'00_Start'!$B$9))</x:f>
        <x:v>93.86706315473106</x:v>
      </x:c>
      <x:c r="M7" s="393" t="n">
        <x:f>100/(1+(J7/'00_Start'!$B$13)^2)/(1+0.01*MAX('01_Models'!P7-7,0))</x:f>
        <x:v>100</x:v>
      </x:c>
      <x:c r="N7" s="393" t="n">
        <x:f>IFERROR(100*COUNTIFS('05_Angle_Scan'!$A$6:$A$246,"&gt;="&amp;B7-'00_Start'!$B$9,'05_Angle_Scan'!$A$6:$A$246,"&lt;="&amp;B7+'00_Start'!$B$9,'05_Angle_Scan'!$S$6:$S$246,12)/COUNTIFS('05_Angle_Scan'!$A$6:$A$246,"&gt;="&amp;B7-'00_Start'!$B$9,'05_Angle_Scan'!$A$6:$A$246,"&lt;="&amp;B7+'00_Start'!$B$9),0)</x:f>
        <x:v>65</x:v>
      </x:c>
      <x:c r="O7" s="393" t="n">
        <x:f>K7*'00_Start'!$E$6+L7*'00_Start'!$E$7+M7*'00_Start'!$E$8+N7*'00_Start'!$E$9</x:f>
        <x:v>83.69886116039899</x:v>
      </x:c>
      <x:c r="P7" s="360" t="str">
        <x:v>Simplest exact fraction and a good construction compromise.</x:v>
      </x:c>
    </x:row>
    <x:row r="8">
      <x:c r="A8" s="135" t="str">
        <x:f>'03_12_Errors'!A8</x:f>
        <x:v>Mean 51.845°</x:v>
      </x:c>
      <x:c r="B8" s="370" t="n">
        <x:f>'03_12_Errors'!B8</x:f>
        <x:v>51.845</x:v>
      </x:c>
      <x:c r="C8" s="369" t="n">
        <x:f>'03_12_Errors'!AB8</x:f>
        <x:v>0.00021672123917522348</x:v>
      </x:c>
      <x:c r="D8" s="369" t="n">
        <x:f>'03_12_Errors'!AC8</x:f>
        <x:v>0.0002452258769280901</x:v>
      </x:c>
      <x:c r="E8" s="369" t="n">
        <x:f>'03_12_Errors'!AD8</x:f>
        <x:v>0.0002474576258786696</x:v>
      </x:c>
      <x:c r="F8" s="369" t="n">
        <x:f>'03_12_Errors'!AE8</x:f>
        <x:v>0.0003972353641383019</x:v>
      </x:c>
      <x:c r="G8" s="368" t="n">
        <x:f>'03_12_Errors'!AF8</x:f>
        <x:v>12</x:v>
      </x:c>
      <x:c r="H8" s="370" t="n">
        <x:f>'01_Models'!S8</x:f>
        <x:v>0.0009999999999976694</x:v>
      </x:c>
      <x:c r="I8" s="368" t="str">
        <x:f>'01_Models'!O8&amp;"/"&amp;'01_Models'!P8</x:f>
        <x:v>11/7</x:v>
      </x:c>
      <x:c r="J8" s="369" t="n">
        <x:f>'01_Models'!R8</x:f>
        <x:v>0.00007999763186012077</x:v>
      </x:c>
      <x:c r="K8" s="394" t="n">
        <x:f>MAX(0,100*(1-D8/'00_Start'!$B$7))</x:f>
        <x:v>75.47741230719099</x:v>
      </x:c>
      <x:c r="L8" s="394" t="n">
        <x:f>MAX(0,100*(1-H8/'00_Start'!$B$9))</x:f>
        <x:v>95.00000000001165</x:v>
      </x:c>
      <x:c r="M8" s="394" t="n">
        <x:f>100/(1+(J8/'00_Start'!$B$13)^2)/(1+0.01*MAX('01_Models'!P8-7,0))</x:f>
        <x:v>60.97701853631254</x:v>
      </x:c>
      <x:c r="N8" s="394" t="n">
        <x:f>IFERROR(100*COUNTIFS('05_Angle_Scan'!$A$6:$A$246,"&gt;="&amp;B8-'00_Start'!$B$9,'05_Angle_Scan'!$A$6:$A$246,"&lt;="&amp;B8+'00_Start'!$B$9,'05_Angle_Scan'!$S$6:$S$246,12)/COUNTIFS('05_Angle_Scan'!$A$6:$A$246,"&gt;="&amp;B8-'00_Start'!$B$9,'05_Angle_Scan'!$A$6:$A$246,"&lt;="&amp;B8+'00_Start'!$B$9),0)</x:f>
        <x:v>68.75</x:v>
      </x:c>
      <x:c r="O8" s="394" t="n">
        <x:f>K8*'00_Start'!$E$6+L8*'00_Start'!$E$7+M8*'00_Start'!$E$8+N8*'00_Start'!$E$9</x:f>
        <x:v>75.7238489415979</x:v>
      </x:c>
      <x:c r="P8" s="135" t="str">
        <x:v>Very good minimax result near the center of the observation range.</x:v>
      </x:c>
    </x:row>
    <x:row r="9">
      <x:c r="A9" s="135" t="str">
        <x:f>'03_12_Errors'!A9</x:f>
        <x:v>Petrie–Lehner–Cole 51.8504°</x:v>
      </x:c>
      <x:c r="B9" s="370" t="n">
        <x:f>'03_12_Errors'!B9</x:f>
        <x:v>51.8504</x:v>
      </x:c>
      <x:c r="C9" s="369" t="n">
        <x:f>'03_12_Errors'!AB9</x:f>
        <x:v>0.00017545502141324065</x:v>
      </x:c>
      <x:c r="D9" s="369" t="n">
        <x:f>'03_12_Errors'!AC9</x:f>
        <x:v>0.0001822218467113544</x:v>
      </x:c>
      <x:c r="E9" s="369" t="n">
        <x:f>'03_12_Errors'!AD9</x:f>
        <x:v>0.00023370960766278532</x:v>
      </x:c>
      <x:c r="F9" s="369" t="n">
        <x:f>'03_12_Errors'!AE9</x:f>
        <x:v>0.0005133555455791237</x:v>
      </x:c>
      <x:c r="G9" s="368" t="n">
        <x:f>'03_12_Errors'!AF9</x:f>
        <x:v>12</x:v>
      </x:c>
      <x:c r="H9" s="370" t="n">
        <x:f>'01_Models'!S9</x:f>
        <x:v>0.006399999999999295</x:v>
      </x:c>
      <x:c r="I9" s="368" t="str">
        <x:f>'01_Models'!O9&amp;"/"&amp;'01_Models'!P9</x:f>
        <x:v>11/7</x:v>
      </x:c>
      <x:c r="J9" s="369" t="n">
        <x:f>'01_Models'!R9</x:f>
        <x:v>0.00027404364926033665</x:v>
      </x:c>
      <x:c r="K9" s="394" t="n">
        <x:f>MAX(0,100*(1-D9/'00_Start'!$B$7))</x:f>
        <x:v>81.77781532886456</x:v>
      </x:c>
      <x:c r="L9" s="394" t="n">
        <x:f>MAX(0,100*(1-H9/'00_Start'!$B$9))</x:f>
        <x:v>68.00000000000352</x:v>
      </x:c>
      <x:c r="M9" s="394" t="n">
        <x:f>100/(1+(J9/'00_Start'!$B$13)^2)/(1+0.01*MAX('01_Models'!P9-7,0))</x:f>
        <x:v>11.750892128034845</x:v>
      </x:c>
      <x:c r="N9" s="394" t="n">
        <x:f>IFERROR(100*COUNTIFS('05_Angle_Scan'!$A$6:$A$246,"&gt;="&amp;B9-'00_Start'!$B$9,'05_Angle_Scan'!$A$6:$A$246,"&lt;="&amp;B9+'00_Start'!$B$9,'05_Angle_Scan'!$S$6:$S$246,12)/COUNTIFS('05_Angle_Scan'!$A$6:$A$246,"&gt;="&amp;B9-'00_Start'!$B$9,'05_Angle_Scan'!$A$6:$A$246,"&lt;="&amp;B9+'00_Start'!$B$9),0)</x:f>
        <x:v>68.75</x:v>
      </x:c>
      <x:c r="O9" s="394" t="n">
        <x:f>K9*'00_Start'!$E$6+L9*'00_Start'!$E$7+M9*'00_Start'!$E$8+N9*'00_Start'!$E$9</x:f>
        <x:v>58.87245839711219</x:v>
      </x:c>
      <x:c r="P9" s="135" t="str">
        <x:v>Smallest mean error; especially strong for e.</x:v>
      </x:c>
    </x:row>
    <x:row r="10">
      <x:c r="A10" s="135" t="str">
        <x:f>'03_12_Errors'!A10</x:f>
        <x:v>Exact π</x:v>
      </x:c>
      <x:c r="B10" s="370" t="n">
        <x:f>'03_12_Errors'!B10</x:f>
        <x:v>51.85397401277745</x:v>
      </x:c>
      <x:c r="C10" s="369" t="n">
        <x:f>'03_12_Errors'!AB10</x:f>
        <x:v>0.00021793866181234157</x:v>
      </x:c>
      <x:c r="D10" s="369" t="n">
        <x:f>'03_12_Errors'!AC10</x:f>
        <x:v>0.0002096002049684591</x:v>
      </x:c>
      <x:c r="E10" s="369" t="n">
        <x:f>'03_12_Errors'!AD10</x:f>
        <x:v>0.00027621760448588554</x:v>
      </x:c>
      <x:c r="F10" s="369" t="n">
        <x:f>'03_12_Errors'!AE10</x:f>
        <x:v>0.0005928168771530057</x:v>
      </x:c>
      <x:c r="G10" s="368" t="n">
        <x:f>'03_12_Errors'!AF10</x:f>
        <x:v>12</x:v>
      </x:c>
      <x:c r="H10" s="370" t="n">
        <x:f>'01_Models'!S10</x:f>
        <x:v>0.009974012777448138</x:v>
      </x:c>
      <x:c r="I10" s="368" t="str">
        <x:f>'01_Models'!O10&amp;"/"&amp;'01_Models'!P10</x:f>
        <x:v>11/7</x:v>
      </x:c>
      <x:c r="J10" s="369" t="n">
        <x:f>'01_Models'!R10</x:f>
        <x:v>0.0004024994347707008</x:v>
      </x:c>
      <x:c r="K10" s="394" t="n">
        <x:f>MAX(0,100*(1-D10/'00_Start'!$B$7))</x:f>
        <x:v>79.03997950315409</x:v>
      </x:c>
      <x:c r="L10" s="394" t="n">
        <x:f>MAX(0,100*(1-H10/'00_Start'!$B$9))</x:f>
        <x:v>50.12993611275931</x:v>
      </x:c>
      <x:c r="M10" s="394" t="n">
        <x:f>100/(1+(J10/'00_Start'!$B$13)^2)/(1+0.01*MAX('01_Models'!P10-7,0))</x:f>
        <x:v>5.813757612375052</x:v>
      </x:c>
      <x:c r="N10" s="394" t="n">
        <x:f>IFERROR(100*COUNTIFS('05_Angle_Scan'!$A$6:$A$246,"&gt;="&amp;B10-'00_Start'!$B$9,'05_Angle_Scan'!$A$6:$A$246,"&lt;="&amp;B10+'00_Start'!$B$9,'05_Angle_Scan'!$S$6:$S$246,12)/COUNTIFS('05_Angle_Scan'!$A$6:$A$246,"&gt;="&amp;B10-'00_Start'!$B$9,'05_Angle_Scan'!$A$6:$A$246,"&lt;="&amp;B10+'00_Start'!$B$9),0)</x:f>
        <x:v>68.75</x:v>
      </x:c>
      <x:c r="O10" s="394" t="n">
        <x:f>K10*'00_Start'!$E$6+L10*'00_Start'!$E$7+M10*'00_Start'!$E$8+N10*'00_Start'!$E$9</x:f>
        <x:v>51.96241625738752</x:v>
      </x:c>
      <x:c r="P10" s="135" t="str">
        <x:v>Exact π, but a weaker match to the simple 11/7 ratio.</x:v>
      </x:c>
    </x:row>
    <x:row r="11" ht="46" customHeight="1">
      <x:c r="A11" s="546" t="str">
        <x:f>'03_12_Errors'!A11</x:f>
        <x:v>Classical cone — generator 51.84°</x:v>
      </x:c>
      <x:c r="B11" s="556" t="n">
        <x:f>'03_12_Errors'!B11</x:f>
        <x:v>51.84</x:v>
      </x:c>
      <x:c r="C11" s="525" t="n">
        <x:f>'03_12_Errors'!AB11</x:f>
        <x:v>0.0002574072446291654</x:v>
      </x:c>
      <x:c r="D11" s="525" t="n">
        <x:f>'03_12_Errors'!AC11</x:f>
        <x:v>0.00030521426054101275</x:v>
      </x:c>
      <x:c r="E11" s="525" t="n">
        <x:f>'03_12_Errors'!AD11</x:f>
        <x:v>0.0003310247296489627</x:v>
      </x:c>
      <x:c r="F11" s="525" t="n">
        <x:f>'03_12_Errors'!AE11</x:f>
        <x:v>0.0007569749979487195</x:v>
      </x:c>
      <x:c r="G11" s="546" t="n">
        <x:f>'03_12_Errors'!AF11</x:f>
        <x:v>12</x:v>
      </x:c>
      <x:c r="H11" s="556" t="n">
        <x:f>'01_Models'!S11</x:f>
        <x:v>0.003999999999997783</x:v>
      </x:c>
      <x:c r="I11" s="546" t="str">
        <x:f>'01_Models'!O11&amp;"/"&amp;'01_Models'!P11</x:f>
        <x:v>11/7</x:v>
      </x:c>
      <x:c r="J11" s="525" t="n">
        <x:f>'01_Models'!R11</x:f>
        <x:v>0.00009963310014276841</x:v>
      </x:c>
      <x:c r="K11" s="557" t="n">
        <x:f>MAX(0,100*(1-D11/'00_Start'!$B$7))</x:f>
        <x:v>69.47857394589873</x:v>
      </x:c>
      <x:c r="L11" s="557" t="n">
        <x:f>MAX(0,100*(1-H11/'00_Start'!$B$9))</x:f>
        <x:v>80.00000000001108</x:v>
      </x:c>
      <x:c r="M11" s="557" t="n">
        <x:f>100/(1+(J11/'00_Start'!$B$13)^2)/(1+0.01*MAX('01_Models'!P11-7,0))</x:f>
        <x:v>50.1837864651054</x:v>
      </x:c>
      <x:c r="N11" s="557" t="n">
        <x:f>IFERROR(100*COUNTIFS('05_Angle_Scan'!$A$6:$A$246,"&gt;="&amp;B11-'00_Start'!$B$9,'05_Angle_Scan'!$A$6:$A$246,"&lt;="&amp;B11+'00_Start'!$B$9,'05_Angle_Scan'!$S$6:$S$246,12)/COUNTIFS('05_Angle_Scan'!$A$6:$A$246,"&gt;="&amp;B11-'00_Start'!$B$9,'05_Angle_Scan'!$A$6:$A$246,"&lt;="&amp;B11+'00_Start'!$B$9),0)</x:f>
        <x:v>57.5</x:v>
      </x:c>
      <x:c r="O11" s="557" t="n">
        <x:f>K11*'00_Start'!$E$6+L11*'00_Start'!$E$7+M11*'00_Start'!$E$8+N11*'00_Start'!$E$9</x:f>
        <x:v>65.48844749734367</x:v>
      </x:c>
      <x:c r="P11" s="522" t="str">
        <x:v>Classical cone with prescribed 51.84° generator angle; retained as a separate comparison model.</x:v>
      </x:c>
    </x:row>
    <x:row r="12" ht="46" customHeight="1">
      <x:c r="A12" s="550" t="str">
        <x:f>'03_12_Errors'!A12</x:f>
        <x:v>Golden Φ Egg — exact φ</x:v>
      </x:c>
      <x:c r="B12" s="550" t="n">
        <x:f>'03_12_Errors'!B12</x:f>
        <x:v>51.79531925589765</x:v>
      </x:c>
      <x:c r="C12" s="550" t="n">
        <x:f>'03_12_Errors'!AB12</x:f>
        <x:v>0.0009771620289797504</x:v>
      </x:c>
      <x:c r="D12" s="550" t="n">
        <x:f>'03_12_Errors'!AC12</x:f>
        <x:v>0.0011983217216687619</x:v>
      </x:c>
      <x:c r="E12" s="550" t="n">
        <x:f>'03_12_Errors'!AD12</x:f>
        <x:v>0.001529584580534515</x:v>
      </x:c>
      <x:c r="F12" s="550" t="n">
        <x:f>'03_12_Errors'!AE12</x:f>
        <x:v>0.003967481575852137</x:v>
      </x:c>
      <x:c r="G12" s="550" t="n">
        <x:f>'03_12_Errors'!AF12</x:f>
        <x:v>9</x:v>
      </x:c>
      <x:c r="H12" s="550" t="n">
        <x:f>'01_Models'!S12</x:f>
        <x:v>0.04868074410234868</x:v>
      </x:c>
      <x:c r="I12" s="550" t="str">
        <x:f>'01_Models'!O12&amp;"/"&amp;'01_Models'!P12</x:f>
        <x:v>11/7</x:v>
      </x:c>
      <x:c r="J12" s="550" t="n">
        <x:f>'01_Models'!R12</x:f>
        <x:v>0.0017030708452751085</x:v>
      </x:c>
      <x:c r="K12" s="550" t="n">
        <x:f>MAX(0,100*(1-D12/'00_Start'!$B$7))</x:f>
        <x:v>0</x:v>
      </x:c>
      <x:c r="L12" s="550" t="n">
        <x:f>MAX(0,100*(1-H12/'00_Start'!$B$9))</x:f>
        <x:v>0</x:v>
      </x:c>
      <x:c r="M12" s="550" t="n">
        <x:f>100/(1+(J12/'00_Start'!$B$13)^2)/(1+0.01*MAX('01_Models'!P12-7,0))</x:f>
        <x:v>0.3435894433987359</x:v>
      </x:c>
      <x:c r="N12" s="550" t="n">
        <x:f>IFERROR(100*COUNTIFS('05_Angle_Scan'!$A$6:$A$246,"&gt;="&amp;B12-'00_Start'!$B$9,'05_Angle_Scan'!$A$6:$A$246,"&lt;="&amp;B12+'00_Start'!$B$9,'05_Angle_Scan'!$S$6:$S$246,12)/COUNTIFS('05_Angle_Scan'!$A$6:$A$246,"&gt;="&amp;B12-'00_Start'!$B$9,'05_Angle_Scan'!$A$6:$A$246,"&lt;="&amp;B12+'00_Start'!$B$9),0)</x:f>
        <x:v>0</x:v>
      </x:c>
      <x:c r="O12" s="550" t="n">
        <x:f>K12*'00_Start'!$E$6+L12*'00_Start'!$E$7+M12*'00_Start'!$E$8+N12*'00_Start'!$E$9</x:f>
        <x:v>0.08589736084968398</x:v>
      </x:c>
      <x:c r="P12" s="533" t="str">
        <x:v>The 51.795319256° angle follows from L/W=φ for z=1/r and Z0=7.65; all errors are based on it.</x:v>
      </x:c>
    </x:row>
    <x:row r="13" ht="46" customHeight="1">
      <x:c r="A13" s="552" t="str">
        <x:f>'03_12_Errors'!A13</x:f>
        <x:v>Custom ratio</x:v>
      </x:c>
      <x:c r="B13" s="552" t="n">
        <x:f>'03_12_Errors'!B13</x:f>
        <x:v>51.86808632439829</x:v>
      </x:c>
      <x:c r="C13" s="552" t="n">
        <x:f>'03_12_Errors'!AB13</x:f>
        <x:v>0.0004907093271734846</x:v>
      </x:c>
      <x:c r="D13" s="552" t="n">
        <x:f>'03_12_Errors'!AC13</x:f>
        <x:v>0.0005183988605438973</x:v>
      </x:c>
      <x:c r="E13" s="552" t="n">
        <x:f>'03_12_Errors'!AD13</x:f>
        <x:v>0.0006040151457886195</x:v>
      </x:c>
      <x:c r="F13" s="552" t="n">
        <x:f>'03_12_Errors'!AE13</x:f>
        <x:v>0.0012650012436057894</x:v>
      </x:c>
      <x:c r="G13" s="552" t="n">
        <x:f>'03_12_Errors'!AF13</x:f>
        <x:v>11</x:v>
      </x:c>
      <x:c r="H13" s="552" t="n">
        <x:f>'01_Models'!S13</x:f>
        <x:v>0.02408632439829006</x:v>
      </x:c>
      <x:c r="I13" s="552" t="str">
        <x:f>'01_Models'!O13&amp;"/"&amp;'01_Models'!P13</x:f>
        <x:v>11/7</x:v>
      </x:c>
      <x:c r="J13" s="552" t="n">
        <x:f>'01_Models'!R13</x:f>
        <x:v>0.0009099181073702769</x:v>
      </x:c>
      <x:c r="K13" s="552" t="n">
        <x:f>MAX(0,100*(1-D13/'00_Start'!$B$7))</x:f>
        <x:v>48.16011394561027</x:v>
      </x:c>
      <x:c r="L13" s="552" t="n">
        <x:f>MAX(0,100*(1-H13/'00_Start'!$B$9))</x:f>
        <x:v>0</x:v>
      </x:c>
      <x:c r="M13" s="552" t="n">
        <x:f>100/(1+(J13/'00_Start'!$B$13)^2)/(1+0.01*MAX('01_Models'!P13-7,0))</x:f>
        <x:v>1.1933872567789088</x:v>
      </x:c>
      <x:c r="N13" s="552" t="n">
        <x:f>IFERROR(100*COUNTIFS('05_Angle_Scan'!$A$6:$A$246,"&gt;="&amp;B13-'00_Start'!$B$9,'05_Angle_Scan'!$A$6:$A$246,"&lt;="&amp;B13+'00_Start'!$B$9,'05_Angle_Scan'!$S$6:$S$246,12)/COUNTIFS('05_Angle_Scan'!$A$6:$A$246,"&gt;="&amp;B13-'00_Start'!$B$9,'05_Angle_Scan'!$A$6:$A$246,"&lt;="&amp;B13+'00_Start'!$B$9),0)</x:f>
        <x:v>40</x:v>
      </x:c>
      <x:c r="O13" s="552" t="n">
        <x:f>K13*'00_Start'!$E$6+L13*'00_Start'!$E$7+M13*'00_Start'!$E$8+N13*'00_Start'!$E$9</x:f>
        <x:v>23.15438669515832</x:v>
      </x:c>
      <x:c r="P13" s="538" t="str">
        <x:v>Experimental model driven by D13 on the Models sheet.</x:v>
      </x:c>
    </x:row>
  </x:sheetData>
  <x:mergeCells>
    <x:mergeCell ref="A1:P2"/>
    <x:mergeCell ref="A3:P3"/>
  </x:mergeCells>
  <x:conditionalFormatting sqref="O6:O11">
    <x:cfRule type="dataBar" priority="1">
      <x:dataBar>
        <x:cfvo type="min"/>
        <x:cfvo type="max"/>
        <x:color rgb="FF2A7F62"/>
      </x:dataBar>
      <x:extLst>
        <x:ext xmlns:x14="http://schemas.microsoft.com/office/spreadsheetml/2009/9/main" uri="{B025F937-C7B1-47D3-B67F-A62EFF666E3E}">
          <x14:id>{031A7911-986D-BF68-96EB-51D67A326F6A}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dcad34372754f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1A7911-986D-BF68-96EB-51D67A326F6A}">
            <x14:dataBar gradient="1">
              <x14:cfvo type="min"/>
              <x14:cfvo type="max"/>
              <x14:fillColor rgb="FF2A7F62"/>
            </x14:dataBar>
          </x14:cfRule>
          <xm:sqref>O6:O11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0" customHeight="1">
      <x:c r="A1" s="126" t="str">
        <x:v>Angle scan — error landscape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  <x:c r="AG1" s="127"/>
      <x:c r="AH1" s="127"/>
      <x:c r="AI1" s="127"/>
      <x:c r="AJ1" s="127"/>
      <x:c r="AK1" s="127"/>
      <x:c r="AL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  <x:c r="AG2" s="127"/>
      <x:c r="AH2" s="127"/>
      <x:c r="AI2" s="127"/>
      <x:c r="AJ2" s="127"/>
      <x:c r="AK2" s="127"/>
      <x:c r="AL2" s="127"/>
    </x:row>
    <x:row r="3" ht="34" customHeight="1">
      <x:c r="A3" s="128" t="str">
        <x:v>The scan does not assume the 11:7 model. It finds the mean, RMS, and minimax minima and tests whether the result is stable within the uncertainty band.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  <x:c r="AG3" s="127"/>
      <x:c r="AH3" s="127"/>
      <x:c r="AI3" s="127"/>
      <x:c r="AJ3" s="127"/>
      <x:c r="AK3" s="127"/>
      <x:c r="AL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  <x:c r="AE4" s="127"/>
      <x:c r="AF4" s="127"/>
      <x:c r="AG4" s="127"/>
      <x:c r="AH4" s="127"/>
      <x:c r="AI4" s="127"/>
      <x:c r="AJ4" s="127"/>
      <x:c r="AK4" s="127"/>
      <x:c r="AL4" s="127"/>
    </x:row>
    <x:row r="5" ht="32" customHeight="1">
      <x:c r="A5" s="129" t="str">
        <x:v>Angle [°]</x:v>
      </x:c>
      <x:c r="B5" s="150" t="str">
        <x:v>B/H</x:v>
      </x:c>
      <x:c r="C5" s="150" t="str">
        <x:v>π error</x:v>
      </x:c>
      <x:c r="D5" s="150" t="str">
        <x:v>γ error</x:v>
      </x:c>
      <x:c r="E5" s="150" t="str">
        <x:v>√3 error</x:v>
      </x:c>
      <x:c r="F5" s="150" t="str">
        <x:v>√6 error</x:v>
      </x:c>
      <x:c r="G5" s="150" t="str">
        <x:v>√2 error</x:v>
      </x:c>
      <x:c r="H5" s="150" t="str">
        <x:v>√5 error</x:v>
      </x:c>
      <x:c r="I5" s="150" t="str">
        <x:v>T error</x:v>
      </x:c>
      <x:c r="J5" s="150" t="str">
        <x:v>B₂ error</x:v>
      </x:c>
      <x:c r="K5" s="150" t="str">
        <x:v>1/φ error</x:v>
      </x:c>
      <x:c r="L5" s="150" t="str">
        <x:v>φ error</x:v>
      </x:c>
      <x:c r="M5" s="150" t="str">
        <x:v>e error</x:v>
      </x:c>
      <x:c r="N5" s="150" t="str">
        <x:v>e−1 error</x:v>
      </x:c>
      <x:c r="O5" s="150" t="str">
        <x:v>Mean of 12</x:v>
      </x:c>
      <x:c r="P5" s="150" t="str">
        <x:v>Independent</x:v>
      </x:c>
      <x:c r="Q5" s="150" t="str">
        <x:v>RMS</x:v>
      </x:c>
      <x:c r="R5" s="150" t="str">
        <x:v>Maximum</x:v>
      </x:c>
      <x:c r="S5" s="150" t="str">
        <x:v>Matches</x:v>
      </x:c>
      <x:c r="T5" s="150" t="str">
        <x:v>H/B</x:v>
      </x:c>
      <x:c r="U5" s="150" t="str">
        <x:v>A/B</x:v>
      </x:c>
      <x:c r="V5" s="150" t="str">
        <x:v>D/B</x:v>
      </x:c>
      <x:c r="W5" s="150" t="str">
        <x:v>S/B</x:v>
      </x:c>
      <x:c r="X5" s="130" t="str">
        <x:v>E/B</x:v>
      </x:c>
      <x:c r="Y5" s="127"/>
      <x:c r="Z5" s="127"/>
      <x:c r="AA5" s="127"/>
      <x:c r="AB5" s="127"/>
      <x:c r="AC5" s="127"/>
      <x:c r="AD5" s="127"/>
      <x:c r="AE5" s="127"/>
      <x:c r="AF5" s="127"/>
      <x:c r="AG5" s="127"/>
      <x:c r="AH5" s="127"/>
      <x:c r="AI5" s="127"/>
      <x:c r="AJ5" s="127" t="str">
        <x:v>Angle [°]</x:v>
      </x:c>
      <x:c r="AK5" s="127" t="str">
        <x:v>Independent error</x:v>
      </x:c>
      <x:c r="AL5" s="127" t="str">
        <x:v>Maximum error</x:v>
      </x:c>
    </x:row>
    <x:row r="6">
      <x:c r="A6" s="357" t="n">
        <x:f>'00_Start'!$B$10</x:f>
        <x:v>51.78</x:v>
      </x:c>
      <x:c r="B6" s="357" t="n">
        <x:f>IF(A6="","",2/TAN(RADIANS(A6)))</x:f>
        <x:v>1.5749755656624345</x:v>
      </x:c>
      <x:c r="C6" s="359" t="n">
        <x:f>IF($A6="","",ABS(2/T6-'02_Constants'!$D$6)/'02_Constants'!$D$6)</x:f>
        <x:v>0.0026605860965217294</x:v>
      </x:c>
      <x:c r="D6" s="359" t="n">
        <x:f>IF($A6="","",ABS(2/(T6+2*V6)-'02_Constants'!$D$7)/'02_Constants'!$D$7)</x:f>
        <x:v>0.0004480678819020448</x:v>
      </x:c>
      <x:c r="E6" s="359" t="n">
        <x:f>IF($A6="","",ABS((T6+2*V6)/2-'02_Constants'!$D$8)/'02_Constants'!$D$8)</x:f>
        <x:v>0.00021477581424579482</x:v>
      </x:c>
      <x:c r="F6" s="359" t="n">
        <x:f>IF($A6="","",ABS((T6+2*V6)/V6-'02_Constants'!$D$9)/'02_Constants'!$D$9)</x:f>
        <x:v>0.0002147758142458223</x:v>
      </x:c>
      <x:c r="G6" s="359" t="n">
        <x:f>IF($A6="","",ABS(V6-'02_Constants'!$D$10)/'02_Constants'!$D$10)</x:f>
        <x:v>0</x:v>
      </x:c>
      <x:c r="H6" s="359" t="n">
        <x:f>IF($A6="","",ABS((W6+1)/W6-'02_Constants'!$D$11)/'02_Constants'!$D$11)</x:f>
        <x:v>0.0005802012619742835</x:v>
      </x:c>
      <x:c r="I6" s="359" t="n">
        <x:f>IF($A6="","",ABS((U6+2*V6)/(W6+1)-'02_Constants'!$D$12)/'02_Constants'!$D$12)</x:f>
        <x:v>0.0008077298757044666</x:v>
      </x:c>
      <x:c r="J6" s="359" t="n">
        <x:f>IF($A6="","",ABS(X6/U6-'02_Constants'!$D$13)/'02_Constants'!$D$13)</x:f>
        <x:v>0.0007835661672473778</x:v>
      </x:c>
      <x:c r="K6" s="359" t="n">
        <x:f>IF($A6="","",ABS(W6/(W6+U6)-'02_Constants'!$D$14)/'02_Constants'!$D$14)</x:f>
        <x:v>0.0004007485480819964</x:v>
      </x:c>
      <x:c r="L6" s="359" t="n">
        <x:f>IF($A6="","",ABS(W6/U6-'02_Constants'!$D$15)/'02_Constants'!$D$15)</x:f>
        <x:v>0.0010484934506944108</x:v>
      </x:c>
      <x:c r="M6" s="359" t="n">
        <x:f>IF($A6="","",ABS(2*A6/(90-A6)-'02_Constants'!$D$16)/'02_Constants'!$D$16)</x:f>
        <x:v>0.003202644486798227</x:v>
      </x:c>
      <x:c r="N6" s="359" t="n">
        <x:f>IF($A6="","",ABS(2*A6/(90-A6)-1-'02_Constants'!$D$17)/'02_Constants'!$D$17)</x:f>
        <x:v>0.005066508978498263</x:v>
      </x:c>
      <x:c r="O6" s="359" t="n">
        <x:f>IF(A6="","",AVERAGE(C6:N6))</x:f>
        <x:v>0.0012856748646595346</x:v>
      </x:c>
      <x:c r="P6" s="359" t="n">
        <x:f>IF(A6="","",SUMPRODUCT(C6:N6,'03_12_Errors'!$P$4:$AA$4)/SUM('03_12_Errors'!$P$4:$AA$4))</x:f>
        <x:v>0.0015592466326394341</x:v>
      </x:c>
      <x:c r="Q6" s="359" t="n">
        <x:f>IF(A6="","",SQRT(SUMSQ(C6:N6)/12))</x:f>
        <x:v>0.001961316742065671</x:v>
      </x:c>
      <x:c r="R6" s="359" t="n">
        <x:f>IF(A6="","",MAX(C6:N6))</x:f>
        <x:v>0.005066508978498263</x:v>
      </x:c>
      <x:c r="S6" s="388" t="n">
        <x:f>IF(A6="","",COUNTIF(C6:N6,"&lt;="&amp;'00_Start'!$B$7))</x:f>
        <x:v>8</x:v>
      </x:c>
      <x:c r="T6" s="355" t="n">
        <x:f>IF(A6="","",0.5*TAN(RADIANS(A6)))</x:f>
        <x:v>0.6349304851465427</x:v>
      </x:c>
      <x:c r="U6" s="355" t="n">
        <x:f>IF(A6="","",0.5)</x:f>
        <x:v>0.5</x:v>
      </x:c>
      <x:c r="V6" s="355" t="n">
        <x:f>IF(A6="","",SQRT(2))</x:f>
        <x:v>1.4142135623730951</x:v>
      </x:c>
      <x:c r="W6" s="355" t="n">
        <x:f>IF(A6="","",SQRT(T6^2+U6^2))</x:f>
        <x:v>0.8081687453548448</x:v>
      </x:c>
      <x:c r="X6" s="355" t="n">
        <x:f>IF(A6="","",SQRT(T6^2+2*U6^2))</x:f>
        <x:v>0.9503350572132041</x:v>
      </x:c>
      <x:c r="Y6" s="127"/>
      <x:c r="Z6" s="127"/>
      <x:c r="AA6" s="127"/>
      <x:c r="AB6" s="127"/>
      <x:c r="AC6" s="127"/>
      <x:c r="AD6" s="127"/>
      <x:c r="AE6" s="127"/>
      <x:c r="AF6" s="127"/>
      <x:c r="AG6" s="127"/>
      <x:c r="AH6" s="127"/>
      <x:c r="AI6" s="127"/>
      <x:c r="AJ6" s="127" t="n">
        <x:f>A6</x:f>
        <x:v>51.78</x:v>
      </x:c>
      <x:c r="AK6" s="127" t="n">
        <x:f>P6</x:f>
        <x:v>0.0015592466326394341</x:v>
      </x:c>
      <x:c r="AL6" s="127" t="n">
        <x:f>R6</x:f>
        <x:v>0.005066508978498263</x:v>
      </x:c>
    </x:row>
    <x:row r="7">
      <x:c r="A7" s="367" t="n">
        <x:f>IF(A6="","",IF(A6+'00_Start'!$B$12&lt;='00_Start'!$B$11,A6+'00_Start'!$B$12,""))</x:f>
        <x:v>51.7805</x:v>
      </x:c>
      <x:c r="B7" s="367" t="n">
        <x:f>IF(A7="","",2/TAN(RADIANS(A7)))</x:f>
        <x:v>1.5749472891316287</x:v>
      </x:c>
      <x:c r="C7" s="369" t="n">
        <x:f>IF($A7="","",ABS(2/T7-'02_Constants'!$D$6)/'02_Constants'!$D$6)</x:f>
        <x:v>0.0026425846979168427</x:v>
      </x:c>
      <x:c r="D7" s="369" t="n">
        <x:f>IF($A7="","",ABS(2/(T7+2*V7)-'02_Constants'!$D$7)/'02_Constants'!$D$7)</x:f>
        <x:v>0.0004447749551891338</x:v>
      </x:c>
      <x:c r="E7" s="369" t="n">
        <x:f>IF($A7="","",ABS((T7+2*V7)/2-'02_Constants'!$D$8)/'02_Constants'!$D$8)</x:f>
        <x:v>0.0002114850584197231</x:v>
      </x:c>
      <x:c r="F7" s="369" t="n">
        <x:f>IF($A7="","",ABS((T7+2*V7)/V7-'02_Constants'!$D$9)/'02_Constants'!$D$9)</x:f>
        <x:v>0.00021148505841981553</x:v>
      </x:c>
      <x:c r="G7" s="369" t="n">
        <x:f>IF($A7="","",ABS(V7-'02_Constants'!$D$10)/'02_Constants'!$D$10)</x:f>
        <x:v>0</x:v>
      </x:c>
      <x:c r="H7" s="369" t="n">
        <x:f>IF($A7="","",ABS((W7+1)/W7-'02_Constants'!$D$11)/'02_Constants'!$D$11)</x:f>
        <x:v>0.0005740690383149976</x:v>
      </x:c>
      <x:c r="I7" s="369" t="n">
        <x:f>IF($A7="","",ABS((U7+2*V7)/(W7+1)-'02_Constants'!$D$12)/'02_Constants'!$D$12)</x:f>
        <x:v>0.0008027728468745319</x:v>
      </x:c>
      <x:c r="J7" s="369" t="n">
        <x:f>IF($A7="","",ABS(X7/U7-'02_Constants'!$D$13)/'02_Constants'!$D$13)</x:f>
        <x:v>0.0007755582295220914</x:v>
      </x:c>
      <x:c r="K7" s="369" t="n">
        <x:f>IF($A7="","",ABS(W7/(W7+U7)-'02_Constants'!$D$14)/'02_Constants'!$D$14)</x:f>
        <x:v>0.0003965146632869318</x:v>
      </x:c>
      <x:c r="L7" s="369" t="n">
        <x:f>IF($A7="","",ABS(W7/U7-'02_Constants'!$D$15)/'02_Constants'!$D$15)</x:f>
        <x:v>0.0010374232815081677</x:v>
      </x:c>
      <x:c r="M7" s="369" t="n">
        <x:f>IF($A7="","",ABS(2*A7/(90-A7)-'02_Constants'!$D$16)/'02_Constants'!$D$16)</x:f>
        <x:v>0.003179978619402456</x:v>
      </x:c>
      <x:c r="N7" s="369" t="n">
        <x:f>IF($A7="","",ABS(2*A7/(90-A7)-1-'02_Constants'!$D$17)/'02_Constants'!$D$17)</x:f>
        <x:v>0.005030652104237164</x:v>
      </x:c>
      <x:c r="O7" s="369" t="n">
        <x:f>IF(A7="","",AVERAGE(C7:N7))</x:f>
        <x:v>0.0012756082127576547</x:v>
      </x:c>
      <x:c r="P7" s="369" t="n">
        <x:f>IF(A7="","",SUMPRODUCT(C7:N7,'03_12_Errors'!$P$4:$AA$4)/SUM('03_12_Errors'!$P$4:$AA$4))</x:f>
        <x:v>0.0015474691924188112</x:v>
      </x:c>
      <x:c r="Q7" s="369" t="n">
        <x:f>IF(A7="","",SQRT(SUMSQ(C7:N7)/12))</x:f>
        <x:v>0.0019472034676908455</x:v>
      </x:c>
      <x:c r="R7" s="369" t="n">
        <x:f>IF(A7="","",MAX(C7:N7))</x:f>
        <x:v>0.005030652104237164</x:v>
      </x:c>
      <x:c r="S7" s="390" t="n">
        <x:f>IF(A7="","",COUNTIF(C7:N7,"&lt;="&amp;'00_Start'!$B$7))</x:f>
        <x:v>8</x:v>
      </x:c>
      <x:c r="T7" s="365" t="n">
        <x:f>IF(A7="","",0.5*TAN(RADIANS(A7)))</x:f>
        <x:v>0.6349418846591147</x:v>
      </x:c>
      <x:c r="U7" s="365" t="n">
        <x:f>IF(A7="","",0.5)</x:f>
        <x:v>0.5</x:v>
      </x:c>
      <x:c r="V7" s="365" t="n">
        <x:f>IF(A7="","",SQRT(2))</x:f>
        <x:v>1.4142135623730951</x:v>
      </x:c>
      <x:c r="W7" s="365" t="n">
        <x:f>IF(A7="","",SQRT(T7^2+U7^2))</x:f>
        <x:v>0.8081777013098471</x:v>
      </x:c>
      <x:c r="X7" s="365" t="n">
        <x:f>IF(A7="","",SQRT(T7^2+2*U7^2))</x:f>
        <x:v>0.9503426734049506</x:v>
      </x:c>
      <x:c r="Y7" s="127"/>
      <x:c r="Z7" s="127"/>
      <x:c r="AA7" s="127"/>
      <x:c r="AB7" s="127"/>
      <x:c r="AC7" s="127"/>
      <x:c r="AD7" s="127"/>
      <x:c r="AE7" s="127"/>
      <x:c r="AF7" s="127"/>
      <x:c r="AG7" s="127"/>
      <x:c r="AH7" s="127"/>
      <x:c r="AI7" s="127"/>
      <x:c r="AJ7" s="127" t="n">
        <x:f>A26</x:f>
        <x:v>51.79000000000005</x:v>
      </x:c>
      <x:c r="AK7" s="127" t="n">
        <x:f>P26</x:f>
        <x:v>0.0013236636586418688</x:v>
      </x:c>
      <x:c r="AL7" s="127" t="n">
        <x:f>R26</x:f>
        <x:v>0.004349193194242319</x:v>
      </x:c>
    </x:row>
    <x:row r="8">
      <x:c r="A8" s="367" t="n">
        <x:f>IF(A7="","",IF(A7+'00_Start'!$B$12&lt;='00_Start'!$B$11,A7+'00_Start'!$B$12,""))</x:f>
        <x:v>51.781000000000006</x:v>
      </x:c>
      <x:c r="B8" s="367" t="n">
        <x:f>IF(A8="","",2/TAN(RADIANS(A8)))</x:f>
        <x:v>1.5749190129894532</x:v>
      </x:c>
      <x:c r="C8" s="369" t="n">
        <x:f>IF($A8="","",ABS(2/T8-'02_Constants'!$D$6)/'02_Constants'!$D$6)</x:f>
        <x:v>0.002624583546721651</x:v>
      </x:c>
      <x:c r="D8" s="369" t="n">
        <x:f>IF($A8="","",ABS(2/(T8+2*V8)-'02_Constants'!$D$7)/'02_Constants'!$D$7)</x:f>
        <x:v>0.0004414819771700007</x:v>
      </x:c>
      <x:c r="E8" s="369" t="n">
        <x:f>IF($A8="","",ABS((T8+2*V8)/2-'02_Constants'!$D$8)/'02_Constants'!$D$8)</x:f>
        <x:v>0.0002081942296577279</x:v>
      </x:c>
      <x:c r="F8" s="369" t="n">
        <x:f>IF($A8="","",ABS((T8+2*V8)/V8-'02_Constants'!$D$9)/'02_Constants'!$D$9)</x:f>
        <x:v>0.00020819422965772015</x:v>
      </x:c>
      <x:c r="G8" s="369" t="n">
        <x:f>IF($A8="","",ABS(V8-'02_Constants'!$D$10)/'02_Constants'!$D$10)</x:f>
        <x:v>0</x:v>
      </x:c>
      <x:c r="H8" s="369" t="n">
        <x:f>IF($A8="","",ABS((W8+1)/W8-'02_Constants'!$D$11)/'02_Constants'!$D$11)</x:f>
        <x:v>0.0005679367725147937</x:v>
      </x:c>
      <x:c r="I8" s="369" t="n">
        <x:f>IF($A8="","",ABS((U8+2*V8)/(W8+1)-'02_Constants'!$D$12)/'02_Constants'!$D$12)</x:f>
        <x:v>0.0007978157232186871</x:v>
      </x:c>
      <x:c r="J8" s="369" t="n">
        <x:f>IF($A8="","",ABS(X8/U8-'02_Constants'!$D$13)/'02_Constants'!$D$13)</x:f>
        <x:v>0.0007675500347123385</x:v>
      </x:c>
      <x:c r="K8" s="369" t="n">
        <x:f>IF($A8="","",ABS(W8/(W8+U8)-'02_Constants'!$D$14)/'02_Constants'!$D$14)</x:f>
        <x:v>0.00039228071352960796</x:v>
      </x:c>
      <x:c r="L8" s="369" t="n">
        <x:f>IF($A8="","",ABS(W8/U8-'02_Constants'!$D$15)/'02_Constants'!$D$15)</x:f>
        <x:v>0.0010263527908875472</x:v>
      </x:c>
      <x:c r="M8" s="369" t="n">
        <x:f>IF($A8="","",ABS(2*A8/(90-A8)-'02_Constants'!$D$16)/'02_Constants'!$D$16)</x:f>
        <x:v>0.0031573121589543603</x:v>
      </x:c>
      <x:c r="N8" s="369" t="n">
        <x:f>IF($A8="","",ABS(2*A8/(90-A8)-1-'02_Constants'!$D$17)/'02_Constants'!$D$17)</x:f>
        <x:v>0.004994794291781102</x:v>
      </x:c>
      <x:c r="O8" s="369" t="n">
        <x:f>IF(A8="","",AVERAGE(C8:N8))</x:f>
        <x:v>0.0012655413724004614</x:v>
      </x:c>
      <x:c r="P8" s="369" t="n">
        <x:f>IF(A8="","",SUMPRODUCT(C8:N8,'03_12_Errors'!$P$4:$AA$4)/SUM('03_12_Errors'!$P$4:$AA$4))</x:f>
        <x:v>0.0015356915724154788</x:v>
      </x:c>
      <x:c r="Q8" s="369" t="n">
        <x:f>IF(A8="","",SQRT(SUMSQ(C8:N8)/12))</x:f>
        <x:v>0.0019330913123339075</x:v>
      </x:c>
      <x:c r="R8" s="369" t="n">
        <x:f>IF(A8="","",MAX(C8:N8))</x:f>
        <x:v>0.004994794291781102</x:v>
      </x:c>
      <x:c r="S8" s="390" t="n">
        <x:f>IF(A8="","",COUNTIF(C8:N8,"&lt;="&amp;'00_Start'!$B$7))</x:f>
        <x:v>8</x:v>
      </x:c>
      <x:c r="T8" s="365" t="n">
        <x:f>IF(A8="","",0.5*TAN(RADIANS(A8)))</x:f>
        <x:v>0.6349532844243444</x:v>
      </x:c>
      <x:c r="U8" s="365" t="n">
        <x:f>IF(A8="","",0.5)</x:f>
        <x:v>0.5</x:v>
      </x:c>
      <x:c r="V8" s="365" t="n">
        <x:f>IF(A8="","",SQRT(2))</x:f>
        <x:v>1.4142135623730951</x:v>
      </x:c>
      <x:c r="W8" s="365" t="n">
        <x:f>IF(A8="","",SQRT(T8^2+U8^2))</x:f>
        <x:v>0.8081866575248953</x:v>
      </x:c>
      <x:c r="X8" s="365" t="n">
        <x:f>IF(A8="","",SQRT(T8^2+2*U8^2))</x:f>
        <x:v>0.9503502898412051</x:v>
      </x:c>
      <x:c r="Y8" s="127"/>
      <x:c r="Z8" s="127"/>
      <x:c r="AA8" s="127"/>
      <x:c r="AB8" s="127"/>
      <x:c r="AC8" s="127"/>
      <x:c r="AD8" s="127"/>
      <x:c r="AE8" s="127"/>
      <x:c r="AF8" s="127"/>
      <x:c r="AG8" s="127"/>
      <x:c r="AH8" s="127"/>
      <x:c r="AI8" s="127"/>
      <x:c r="AJ8" s="127" t="n">
        <x:f>A46</x:f>
        <x:v>51.8000000000001</x:v>
      </x:c>
      <x:c r="AK8" s="127" t="n">
        <x:f>P46</x:f>
        <x:v>0.0010880086991099877</x:v>
      </x:c>
      <x:c r="AL8" s="127" t="n">
        <x:f>R46</x:f>
        <x:v>0.003631501851983904</x:v>
      </x:c>
    </x:row>
    <x:row r="9">
      <x:c r="A9" s="367" t="n">
        <x:f>IF(A8="","",IF(A8+'00_Start'!$B$12&lt;='00_Start'!$B$11,A8+'00_Start'!$B$12,""))</x:f>
        <x:v>51.78150000000001</x:v>
      </x:c>
      <x:c r="B9" s="367" t="n">
        <x:f>IF(A9="","",2/TAN(RADIANS(A9)))</x:f>
        <x:v>1.5748907372358956</x:v>
      </x:c>
      <x:c r="C9" s="369" t="n">
        <x:f>IF($A9="","",ABS(2/T9-'02_Constants'!$D$6)/'02_Constants'!$D$6)</x:f>
        <x:v>0.0026065826429282368</x:v>
      </x:c>
      <x:c r="D9" s="369" t="n">
        <x:f>IF($A9="","",ABS(2/(T9+2*V9)-'02_Constants'!$D$7)/'02_Constants'!$D$7)</x:f>
        <x:v>0.0004381889478425298</x:v>
      </x:c>
      <x:c r="E9" s="369" t="n">
        <x:f>IF($A9="","",ABS((T9+2*V9)/2-'02_Constants'!$D$8)/'02_Constants'!$D$8)</x:f>
        <x:v>0.0002049033279567324</x:v>
      </x:c>
      <x:c r="F9" s="369" t="n">
        <x:f>IF($A9="","",ABS((T9+2*V9)/V9-'02_Constants'!$D$9)/'02_Constants'!$D$9)</x:f>
        <x:v>0.0002049033279568167</x:v>
      </x:c>
      <x:c r="G9" s="369" t="n">
        <x:f>IF($A9="","",ABS(V9-'02_Constants'!$D$10)/'02_Constants'!$D$10)</x:f>
        <x:v>0</x:v>
      </x:c>
      <x:c r="H9" s="369" t="n">
        <x:f>IF($A9="","",ABS((W9+1)/W9-'02_Constants'!$D$11)/'02_Constants'!$D$11)</x:f>
        <x:v>0.0005618044645742676</x:v>
      </x:c>
      <x:c r="I9" s="369" t="n">
        <x:f>IF($A9="","",ABS((U9+2*V9)/(W9+1)-'02_Constants'!$D$12)/'02_Constants'!$D$12)</x:f>
        <x:v>0.0007928585047345179</x:v>
      </x:c>
      <x:c r="J9" s="369" t="n">
        <x:f>IF($A9="","",ABS(X9/U9-'02_Constants'!$D$13)/'02_Constants'!$D$13)</x:f>
        <x:v>0.0007595415828076129</x:v>
      </x:c>
      <x:c r="K9" s="369" t="n">
        <x:f>IF($A9="","",ABS(W9/(W9+U9)-'02_Constants'!$D$14)/'02_Constants'!$D$14)</x:f>
        <x:v>0.0003880466988100248</x:v>
      </x:c>
      <x:c r="L9" s="369" t="n">
        <x:f>IF($A9="","",ABS(W9/U9-'02_Constants'!$D$15)/'02_Constants'!$D$15)</x:f>
        <x:v>0.001015281978820336</x:v>
      </x:c>
      <x:c r="M9" s="369" t="n">
        <x:f>IF($A9="","",ABS(2*A9/(90-A9)-'02_Constants'!$D$16)/'02_Constants'!$D$16)</x:f>
        <x:v>0.0031346451054307424</x:v>
      </x:c>
      <x:c r="N9" s="369" t="n">
        <x:f>IF($A9="","",ABS(2*A9/(90-A9)-1-'02_Constants'!$D$17)/'02_Constants'!$D$17)</x:f>
        <x:v>0.004958935541093379</x:v>
      </x:c>
      <x:c r="O9" s="369" t="n">
        <x:f>IF(A9="","",AVERAGE(C9:N9))</x:f>
        <x:v>0.0012554743435795998</x:v>
      </x:c>
      <x:c r="P9" s="369" t="n">
        <x:f>IF(A9="","",SUMPRODUCT(C9:N9,'03_12_Errors'!$P$4:$AA$4)/SUM('03_12_Errors'!$P$4:$AA$4))</x:f>
        <x:v>0.0015239137726198886</x:v>
      </x:c>
      <x:c r="Q9" s="369" t="n">
        <x:f>IF(A9="","",SQRT(SUMSQ(C9:N9)/12))</x:f>
        <x:v>0.0019189803071704434</x:v>
      </x:c>
      <x:c r="R9" s="369" t="n">
        <x:f>IF(A9="","",MAX(C9:N9))</x:f>
        <x:v>0.004958935541093379</x:v>
      </x:c>
      <x:c r="S9" s="390" t="n">
        <x:f>IF(A9="","",COUNTIF(C9:N9,"&lt;="&amp;'00_Start'!$B$7))</x:f>
        <x:v>8</x:v>
      </x:c>
      <x:c r="T9" s="365" t="n">
        <x:f>IF(A9="","",0.5*TAN(RADIANS(A9)))</x:f>
        <x:v>0.6349646844422419</x:v>
      </x:c>
      <x:c r="U9" s="365" t="n">
        <x:f>IF(A9="","",0.5)</x:f>
        <x:v>0.5</x:v>
      </x:c>
      <x:c r="V9" s="365" t="n">
        <x:f>IF(A9="","",SQRT(2))</x:f>
        <x:v>1.4142135623730951</x:v>
      </x:c>
      <x:c r="W9" s="365" t="n">
        <x:f>IF(A9="","",SQRT(T9^2+U9^2))</x:f>
        <x:v>0.8081956139999992</x:v>
      </x:c>
      <x:c r="X9" s="365" t="n">
        <x:f>IF(A9="","",SQRT(T9^2+2*U9^2))</x:f>
        <x:v>0.9503579065219775</x:v>
      </x:c>
      <x:c r="Y9" s="127"/>
      <x:c r="Z9" s="127"/>
      <x:c r="AA9" s="127"/>
      <x:c r="AB9" s="127"/>
      <x:c r="AC9" s="127"/>
      <x:c r="AD9" s="127"/>
      <x:c r="AE9" s="127"/>
      <x:c r="AF9" s="127"/>
      <x:c r="AG9" s="127"/>
      <x:c r="AH9" s="127"/>
      <x:c r="AI9" s="127"/>
      <x:c r="AJ9" s="127" t="n">
        <x:f>A66</x:f>
        <x:v>51.810000000000144</x:v>
      </x:c>
      <x:c r="AK9" s="127" t="n">
        <x:f>P66</x:f>
        <x:v>0.0008522816777442795</x:v>
      </x:c>
      <x:c r="AL9" s="127" t="n">
        <x:f>R66</x:f>
        <x:v>0.002913434656705154</x:v>
      </x:c>
    </x:row>
    <x:row r="10">
      <x:c r="A10" s="367" t="n">
        <x:f>IF(A9="","",IF(A9+'00_Start'!$B$12&lt;='00_Start'!$B$11,A9+'00_Start'!$B$12,""))</x:f>
        <x:v>51.78200000000001</x:v>
      </x:c>
      <x:c r="B10" s="367" t="n">
        <x:f>IF(A10="","",2/TAN(RADIANS(A10)))</x:f>
        <x:v>1.5748624618709433</x:v>
      </x:c>
      <x:c r="C10" s="369" t="n">
        <x:f>IF($A10="","",ABS(2/T10-'02_Constants'!$D$6)/'02_Constants'!$D$6)</x:f>
        <x:v>0.002588581986528685</x:v>
      </x:c>
      <x:c r="D10" s="369" t="n">
        <x:f>IF($A10="","",ABS(2/(T10+2*V10)-'02_Constants'!$D$7)/'02_Constants'!$D$7)</x:f>
        <x:v>0.00043489586720537465</x:v>
      </x:c>
      <x:c r="E10" s="369" t="n">
        <x:f>IF($A10="","",ABS((T10+2*V10)/2-'02_Constants'!$D$8)/'02_Constants'!$D$8)</x:f>
        <x:v>0.0002016123533140445</x:v>
      </x:c>
      <x:c r="F10" s="369" t="n">
        <x:f>IF($A10="","",ABS((T10+2*V10)/V10-'02_Constants'!$D$9)/'02_Constants'!$D$9)</x:f>
        <x:v>0.00020161235331402305</x:v>
      </x:c>
      <x:c r="G10" s="369" t="n">
        <x:f>IF($A10="","",ABS(V10-'02_Constants'!$D$10)/'02_Constants'!$D$10)</x:f>
        <x:v>0</x:v>
      </x:c>
      <x:c r="H10" s="369" t="n">
        <x:f>IF($A10="","",ABS((W10+1)/W10-'02_Constants'!$D$11)/'02_Constants'!$D$11)</x:f>
        <x:v>0.0005556721144936179</x:v>
      </x:c>
      <x:c r="I10" s="369" t="n">
        <x:f>IF($A10="","",ABS((U10+2*V10)/(W10+1)-'02_Constants'!$D$12)/'02_Constants'!$D$12)</x:f>
        <x:v>0.0007879011914200926</x:v>
      </x:c>
      <x:c r="J10" s="369" t="n">
        <x:f>IF($A10="","",ABS(X10/U10-'02_Constants'!$D$13)/'02_Constants'!$D$13)</x:f>
        <x:v>0.0007515328737971755</x:v>
      </x:c>
      <x:c r="K10" s="369" t="n">
        <x:f>IF($A10="","",ABS(W10/(W10+U10)-'02_Constants'!$D$14)/'02_Constants'!$D$14)</x:f>
        <x:v>0.00038381261912656564</x:v>
      </x:c>
      <x:c r="L10" s="369" t="n">
        <x:f>IF($A10="","",ABS(W10/U10-'02_Constants'!$D$15)/'02_Constants'!$D$15)</x:f>
        <x:v>0.0010042108452937716</x:v>
      </x:c>
      <x:c r="M10" s="369" t="n">
        <x:f>IF($A10="","",ABS(2*A10/(90-A10)-'02_Constants'!$D$16)/'02_Constants'!$D$16)</x:f>
        <x:v>0.003111977458808076</x:v>
      </x:c>
      <x:c r="N10" s="369" t="n">
        <x:f>IF($A10="","",ABS(2*A10/(90-A10)-1-'02_Constants'!$D$17)/'02_Constants'!$D$17)</x:f>
        <x:v>0.004923075852136775</x:v>
      </x:c>
      <x:c r="O10" s="369" t="n">
        <x:f>IF(A10="","",AVERAGE(C10:N10))</x:f>
        <x:v>0.0012454071262865169</x:v>
      </x:c>
      <x:c r="P10" s="369" t="n">
        <x:f>IF(A10="","",SUMPRODUCT(C10:N10,'03_12_Errors'!$P$4:$AA$4)/SUM('03_12_Errors'!$P$4:$AA$4))</x:f>
        <x:v>0.0015121357930223634</x:v>
      </x:c>
      <x:c r="Q10" s="369" t="n">
        <x:f>IF(A10="","",SQRT(SUMSQ(C10:N10)/12))</x:f>
        <x:v>0.0019048704842981636</x:v>
      </x:c>
      <x:c r="R10" s="369" t="n">
        <x:f>IF(A10="","",MAX(C10:N10))</x:f>
        <x:v>0.004923075852136775</x:v>
      </x:c>
      <x:c r="S10" s="390" t="n">
        <x:f>IF(A10="","",COUNTIF(C10:N10,"&lt;="&amp;'00_Start'!$B$7))</x:f>
        <x:v>8</x:v>
      </x:c>
      <x:c r="T10" s="365" t="n">
        <x:f>IF(A10="","",0.5*TAN(RADIANS(A10)))</x:f>
        <x:v>0.6349760847128173</x:v>
      </x:c>
      <x:c r="U10" s="365" t="n">
        <x:f>IF(A10="","",0.5)</x:f>
        <x:v>0.5</x:v>
      </x:c>
      <x:c r="V10" s="365" t="n">
        <x:f>IF(A10="","",SQRT(2))</x:f>
        <x:v>1.4142135623730951</x:v>
      </x:c>
      <x:c r="W10" s="365" t="n">
        <x:f>IF(A10="","",SQRT(T10^2+U10^2))</x:f>
        <x:v>0.8082045707351692</x:v>
      </x:c>
      <x:c r="X10" s="365" t="n">
        <x:f>IF(A10="","",SQRT(T10^2+2*U10^2))</x:f>
        <x:v>0.9503655234472781</x:v>
      </x:c>
      <x:c r="Y10" s="127"/>
      <x:c r="Z10" s="127"/>
      <x:c r="AA10" s="127"/>
      <x:c r="AB10" s="127"/>
      <x:c r="AC10" s="127"/>
      <x:c r="AD10" s="127"/>
      <x:c r="AE10" s="127"/>
      <x:c r="AF10" s="127"/>
      <x:c r="AG10" s="127"/>
      <x:c r="AH10" s="127"/>
      <x:c r="AI10" s="127"/>
      <x:c r="AJ10" s="127" t="n">
        <x:f>A86</x:f>
        <x:v>51.82000000000019</x:v>
      </x:c>
      <x:c r="AK10" s="127" t="n">
        <x:f>P86</x:f>
        <x:v>0.0006273081560030135</x:v>
      </x:c>
      <x:c r="AL10" s="127" t="n">
        <x:f>R86</x:f>
        <x:v>0.002194991313079099</x:v>
      </x:c>
    </x:row>
    <x:row r="11">
      <x:c r="A11" s="367" t="n">
        <x:f>IF(A10="","",IF(A10+'00_Start'!$B$12&lt;='00_Start'!$B$11,A10+'00_Start'!$B$12,""))</x:f>
        <x:v>51.78250000000001</x:v>
      </x:c>
      <x:c r="B11" s="367" t="n">
        <x:f>IF(A11="","",2/TAN(RADIANS(A11)))</x:f>
        <x:v>1.5748341868945839</x:v>
      </x:c>
      <x:c r="C11" s="369" t="n">
        <x:f>IF($A11="","",ABS(2/T11-'02_Constants'!$D$6)/'02_Constants'!$D$6)</x:f>
        <x:v>0.0025705815775150798</x:v>
      </x:c>
      <x:c r="D11" s="369" t="n">
        <x:f>IF($A11="","",ABS(2/(T11+2*V11)-'02_Constants'!$D$7)/'02_Constants'!$D$7)</x:f>
        <x:v>0.0004316027352566119</x:v>
      </x:c>
      <x:c r="E11" s="369" t="n">
        <x:f>IF($A11="","",ABS((T11+2*V11)/2-'02_Constants'!$D$8)/'02_Constants'!$D$8)</x:f>
        <x:v>0.0001983213057264592</x:v>
      </x:c>
      <x:c r="F11" s="369" t="n">
        <x:f>IF($A11="","",ABS((T11+2*V11)/V11-'02_Constants'!$D$9)/'02_Constants'!$D$9)</x:f>
        <x:v>0.00019832130572643844</x:v>
      </x:c>
      <x:c r="G11" s="369" t="n">
        <x:f>IF($A11="","",ABS(V11-'02_Constants'!$D$10)/'02_Constants'!$D$10)</x:f>
        <x:v>0</x:v>
      </x:c>
      <x:c r="H11" s="369" t="n">
        <x:f>IF($A11="","",ABS((W11+1)/W11-'02_Constants'!$D$11)/'02_Constants'!$D$11)</x:f>
        <x:v>0.0005495397222736392</x:v>
      </x:c>
      <x:c r="I11" s="369" t="n">
        <x:f>IF($A11="","",ABS((U11+2*V11)/(W11+1)-'02_Constants'!$D$12)/'02_Constants'!$D$12)</x:f>
        <x:v>0.0007829437832737211</x:v>
      </x:c>
      <x:c r="J11" s="369" t="n">
        <x:f>IF($A11="","",ABS(X11/U11-'02_Constants'!$D$13)/'02_Constants'!$D$13)</x:f>
        <x:v>0.0007435239076706368</x:v>
      </x:c>
      <x:c r="K11" s="369" t="n">
        <x:f>IF($A11="","",ABS(W11/(W11+U11)-'02_Constants'!$D$14)/'02_Constants'!$D$14)</x:f>
        <x:v>0.0003795784744783323</x:v>
      </x:c>
      <x:c r="L11" s="369" t="n">
        <x:f>IF($A11="","",ABS(W11/U11-'02_Constants'!$D$15)/'02_Constants'!$D$15)</x:f>
        <x:v>0.0009931393902959148</x:v>
      </x:c>
      <x:c r="M11" s="369" t="n">
        <x:f>IF($A11="","",ABS(2*A11/(90-A11)-'02_Constants'!$D$16)/'02_Constants'!$D$16)</x:f>
        <x:v>0.0030893092190633262</x:v>
      </x:c>
      <x:c r="N11" s="369" t="n">
        <x:f>IF($A11="","",ABS(2*A11/(90-A11)-1-'02_Constants'!$D$17)/'02_Constants'!$D$17)</x:f>
        <x:v>0.004887215224874852</x:v>
      </x:c>
      <x:c r="O11" s="369" t="n">
        <x:f>IF(A11="","",AVERAGE(C11:N11))</x:f>
        <x:v>0.0012353397205129176</x:v>
      </x:c>
      <x:c r="P11" s="369" t="n">
        <x:f>IF(A11="","",SUMPRODUCT(C11:N11,'03_12_Errors'!$P$4:$AA$4)/SUM('03_12_Errors'!$P$4:$AA$4))</x:f>
        <x:v>0.0015003576336134988</x:v>
      </x:c>
      <x:c r="Q11" s="369" t="n">
        <x:f>IF(A11="","",SQRT(SUMSQ(C11:N11)/12))</x:f>
        <x:v>0.0018907618767716188</x:v>
      </x:c>
      <x:c r="R11" s="369" t="n">
        <x:f>IF(A11="","",MAX(C11:N11))</x:f>
        <x:v>0.004887215224874852</x:v>
      </x:c>
      <x:c r="S11" s="390" t="n">
        <x:f>IF(A11="","",COUNTIF(C11:N11,"&lt;="&amp;'00_Start'!$B$7))</x:f>
        <x:v>9</x:v>
      </x:c>
      <x:c r="T11" s="365" t="n">
        <x:f>IF(A11="","",0.5*TAN(RADIANS(A11)))</x:f>
        <x:v>0.6349874852360808</x:v>
      </x:c>
      <x:c r="U11" s="365" t="n">
        <x:f>IF(A11="","",0.5)</x:f>
        <x:v>0.5</x:v>
      </x:c>
      <x:c r="V11" s="365" t="n">
        <x:f>IF(A11="","",SQRT(2))</x:f>
        <x:v>1.4142135623730951</x:v>
      </x:c>
      <x:c r="W11" s="365" t="n">
        <x:f>IF(A11="","",SQRT(T11^2+U11^2))</x:f>
        <x:v>0.8082135277304149</x:v>
      </x:c>
      <x:c r="X11" s="365" t="n">
        <x:f>IF(A11="","",SQRT(T11^2+2*U11^2))</x:f>
        <x:v>0.9503731406171168</x:v>
      </x:c>
      <x:c r="Y11" s="127"/>
      <x:c r="Z11" s="127"/>
      <x:c r="AA11" s="127"/>
      <x:c r="AB11" s="127"/>
      <x:c r="AC11" s="127"/>
      <x:c r="AD11" s="127"/>
      <x:c r="AE11" s="127"/>
      <x:c r="AF11" s="127"/>
      <x:c r="AG11" s="127"/>
      <x:c r="AH11" s="127"/>
      <x:c r="AI11" s="127"/>
      <x:c r="AJ11" s="127" t="n">
        <x:f>A106</x:f>
        <x:v>51.83000000000024</x:v>
      </x:c>
      <x:c r="AK11" s="127" t="n">
        <x:f>P106</x:f>
        <x:v>0.0004251818108938541</x:v>
      </x:c>
      <x:c r="AL11" s="127" t="n">
        <x:f>R106</x:f>
        <x:v>0.001476171525468887</x:v>
      </x:c>
    </x:row>
    <x:row r="12">
      <x:c r="A12" s="367" t="n">
        <x:f>IF(A11="","",IF(A11+'00_Start'!$B$12&lt;='00_Start'!$B$11,A11+'00_Start'!$B$12,""))</x:f>
        <x:v>51.783000000000015</x:v>
      </x:c>
      <x:c r="B12" s="367" t="n">
        <x:f>IF(A12="","",2/TAN(RADIANS(A12)))</x:f>
        <x:v>1.574805912306806</x:v>
      </x:c>
      <x:c r="C12" s="369" t="n">
        <x:f>IF($A12="","",ABS(2/T12-'02_Constants'!$D$6)/'02_Constants'!$D$6)</x:f>
        <x:v>0.0025525814158802117</x:v>
      </x:c>
      <x:c r="D12" s="369" t="n">
        <x:f>IF($A12="","",ABS(2/(T12+2*V12)-'02_Constants'!$D$7)/'02_Constants'!$D$7)</x:f>
        <x:v>0.0004283095519945104</x:v>
      </x:c>
      <x:c r="E12" s="369" t="n">
        <x:f>IF($A12="","",ABS((T12+2*V12)/2-'02_Constants'!$D$8)/'02_Constants'!$D$8)</x:f>
        <x:v>0.0001950301851912844</x:v>
      </x:c>
      <x:c r="F12" s="369" t="n">
        <x:f>IF($A12="","",ABS((T12+2*V12)/V12-'02_Constants'!$D$9)/'02_Constants'!$D$9)</x:f>
        <x:v>0.00019503018519134342</x:v>
      </x:c>
      <x:c r="G12" s="369" t="n">
        <x:f>IF($A12="","",ABS(V12-'02_Constants'!$D$10)/'02_Constants'!$D$10)</x:f>
        <x:v>0</x:v>
      </x:c>
      <x:c r="H12" s="369" t="n">
        <x:f>IF($A12="","",ABS((W12+1)/W12-'02_Constants'!$D$11)/'02_Constants'!$D$11)</x:f>
        <x:v>0.000543407287914927</x:v>
      </x:c>
      <x:c r="I12" s="369" t="n">
        <x:f>IF($A12="","",ABS((U12+2*V12)/(W12+1)-'02_Constants'!$D$12)/'02_Constants'!$D$12)</x:f>
        <x:v>0.0007779862802933511</x:v>
      </x:c>
      <x:c r="J12" s="369" t="n">
        <x:f>IF($A12="","",ABS(X12/U12-'02_Constants'!$D$13)/'02_Constants'!$D$13)</x:f>
        <x:v>0.0007355146844177246</x:v>
      </x:c>
      <x:c r="K12" s="369" t="n">
        <x:f>IF($A12="","",ABS(W12/(W12+U12)-'02_Constants'!$D$14)/'02_Constants'!$D$14)</x:f>
        <x:v>0.00037534426486532477</x:v>
      </x:c>
      <x:c r="L12" s="369" t="n">
        <x:f>IF($A12="","",ABS(W12/U12-'02_Constants'!$D$15)/'02_Constants'!$D$15)</x:f>
        <x:v>0.0009820676138146893</x:v>
      </x:c>
      <x:c r="M12" s="369" t="n">
        <x:f>IF($A12="","",ABS(2*A12/(90-A12)-'02_Constants'!$D$16)/'02_Constants'!$D$16)</x:f>
        <x:v>0.0030666403861731306</x:v>
      </x:c>
      <x:c r="N12" s="369" t="n">
        <x:f>IF($A12="","",ABS(2*A12/(90-A12)-1-'02_Constants'!$D$17)/'02_Constants'!$D$17)</x:f>
        <x:v>0.004851353659270649</x:v>
      </x:c>
      <x:c r="O12" s="369" t="n">
        <x:f>IF(A12="","",AVERAGE(C12:N12))</x:f>
        <x:v>0.0012252721262505954</x:v>
      </x:c>
      <x:c r="P12" s="369" t="n">
        <x:f>IF(A12="","",SUMPRODUCT(C12:N12,'03_12_Errors'!$P$4:$AA$4)/SUM('03_12_Errors'!$P$4:$AA$4))</x:f>
        <x:v>0.0014885792943839786</x:v>
      </x:c>
      <x:c r="Q12" s="369" t="n">
        <x:f>IF(A12="","",SQRT(SUMSQ(C12:N12)/12))</x:f>
        <x:v>0.001876654518637574</x:v>
      </x:c>
      <x:c r="R12" s="369" t="n">
        <x:f>IF(A12="","",MAX(C12:N12))</x:f>
        <x:v>0.004851353659270649</x:v>
      </x:c>
      <x:c r="S12" s="390" t="n">
        <x:f>IF(A12="","",COUNTIF(C12:N12,"&lt;="&amp;'00_Start'!$B$7))</x:f>
        <x:v>9</x:v>
      </x:c>
      <x:c r="T12" s="365" t="n">
        <x:f>IF(A12="","",0.5*TAN(RADIANS(A12)))</x:f>
        <x:v>0.6349988860120424</x:v>
      </x:c>
      <x:c r="U12" s="365" t="n">
        <x:f>IF(A12="","",0.5)</x:f>
        <x:v>0.5</x:v>
      </x:c>
      <x:c r="V12" s="365" t="n">
        <x:f>IF(A12="","",SQRT(2))</x:f>
        <x:v>1.4142135623730951</x:v>
      </x:c>
      <x:c r="W12" s="365" t="n">
        <x:f>IF(A12="","",SQRT(T12^2+U12^2))</x:f>
        <x:v>0.8082224849857461</x:v>
      </x:c>
      <x:c r="X12" s="365" t="n">
        <x:f>IF(A12="","",SQRT(T12^2+2*U12^2))</x:f>
        <x:v>0.9503807580315032</x:v>
      </x:c>
      <x:c r="Y12" s="127"/>
      <x:c r="Z12" s="127"/>
      <x:c r="AA12" s="127"/>
      <x:c r="AB12" s="127"/>
      <x:c r="AC12" s="127"/>
      <x:c r="AD12" s="127"/>
      <x:c r="AE12" s="127"/>
      <x:c r="AF12" s="127"/>
      <x:c r="AG12" s="127"/>
      <x:c r="AH12" s="127"/>
      <x:c r="AI12" s="127"/>
      <x:c r="AJ12" s="127" t="n">
        <x:f>A126</x:f>
        <x:v>51.84000000000029</x:v>
      </x:c>
      <x:c r="AK12" s="127" t="n">
        <x:f>P126</x:f>
        <x:v>0.00030521426053760825</x:v>
      </x:c>
      <x:c r="AL12" s="127" t="n">
        <x:f>R126</x:f>
        <x:v>0.000756974997928302</x:v>
      </x:c>
    </x:row>
    <x:row r="13">
      <x:c r="A13" s="367" t="n">
        <x:f>IF(A12="","",IF(A12+'00_Start'!$B$12&lt;='00_Start'!$B$11,A12+'00_Start'!$B$12,""))</x:f>
        <x:v>51.78350000000002</x:v>
      </x:c>
      <x:c r="B13" s="367" t="n">
        <x:f>IF(A13="","",2/TAN(RADIANS(A13)))</x:f>
        <x:v>1.5747776381075966</x:v>
      </x:c>
      <x:c r="C13" s="369" t="n">
        <x:f>IF($A13="","",ABS(2/T13-'02_Constants'!$D$6)/'02_Constants'!$D$6)</x:f>
        <x:v>0.0025345815016155986</x:v>
      </x:c>
      <x:c r="D13" s="369" t="n">
        <x:f>IF($A13="","",ABS(2/(T13+2*V13)-'02_Constants'!$D$7)/'02_Constants'!$D$7)</x:f>
        <x:v>0.0004250163174177239</x:v>
      </x:c>
      <x:c r="E13" s="369" t="n">
        <x:f>IF($A13="","",ABS((T13+2*V13)/2-'02_Constants'!$D$8)/'02_Constants'!$D$8)</x:f>
        <x:v>0.00019173899170544338</x:v>
      </x:c>
      <x:c r="F13" s="369" t="n">
        <x:f>IF($A13="","",ABS((T13+2*V13)/V13-'02_Constants'!$D$9)/'02_Constants'!$D$9)</x:f>
        <x:v>0.00019173899170547458</x:v>
      </x:c>
      <x:c r="G13" s="369" t="n">
        <x:f>IF($A13="","",ABS(V13-'02_Constants'!$D$10)/'02_Constants'!$D$10)</x:f>
        <x:v>0</x:v>
      </x:c>
      <x:c r="H13" s="369" t="n">
        <x:f>IF($A13="","",ABS((W13+1)/W13-'02_Constants'!$D$11)/'02_Constants'!$D$11)</x:f>
        <x:v>0.0005372748114176802</x:v>
      </x:c>
      <x:c r="I13" s="369" t="n">
        <x:f>IF($A13="","",ABS((U13+2*V13)/(W13+1)-'02_Constants'!$D$12)/'02_Constants'!$D$12)</x:f>
        <x:v>0.0007730286824764474</x:v>
      </x:c>
      <x:c r="J13" s="369" t="n">
        <x:f>IF($A13="","",ABS(X13/U13-'02_Constants'!$D$13)/'02_Constants'!$D$13)</x:f>
        <x:v>0.0007275052040275824</x:v>
      </x:c>
      <x:c r="K13" s="369" t="n">
        <x:f>IF($A13="","",ABS(W13/(W13+U13)-'02_Constants'!$D$14)/'02_Constants'!$D$14)</x:f>
        <x:v>0.0003711099902861059</x:v>
      </x:c>
      <x:c r="L13" s="369" t="n">
        <x:f>IF($A13="","",ABS(W13/U13-'02_Constants'!$D$15)/'02_Constants'!$D$15)</x:f>
        <x:v>0.0009709955158367838</x:v>
      </x:c>
      <x:c r="M13" s="369" t="n">
        <x:f>IF($A13="","",ABS(2*A13/(90-A13)-'02_Constants'!$D$16)/'02_Constants'!$D$16)</x:f>
        <x:v>0.0030439709601141275</x:v>
      </x:c>
      <x:c r="N13" s="369" t="n">
        <x:f>IF($A13="","",ABS(2*A13/(90-A13)-1-'02_Constants'!$D$17)/'02_Constants'!$D$17)</x:f>
        <x:v>0.004815491155287209</x:v>
      </x:c>
      <x:c r="O13" s="369" t="n">
        <x:f>IF(A13="","",AVERAGE(C13:N13))</x:f>
        <x:v>0.001215204343490848</x:v>
      </x:c>
      <x:c r="P13" s="369" t="n">
        <x:f>IF(A13="","",SUMPRODUCT(C13:N13,'03_12_Errors'!$P$4:$AA$4)/SUM('03_12_Errors'!$P$4:$AA$4))</x:f>
        <x:v>0.001476800775323895</x:v>
      </x:c>
      <x:c r="Q13" s="369" t="n">
        <x:f>IF(A13="","",SQRT(SUMSQ(C13:N13)/12))</x:f>
        <x:v>0.0018625484449721684</x:v>
      </x:c>
      <x:c r="R13" s="369" t="n">
        <x:f>IF(A13="","",MAX(C13:N13))</x:f>
        <x:v>0.004815491155287209</x:v>
      </x:c>
      <x:c r="S13" s="390" t="n">
        <x:f>IF(A13="","",COUNTIF(C13:N13,"&lt;="&amp;'00_Start'!$B$7))</x:f>
        <x:v>9</x:v>
      </x:c>
      <x:c r="T13" s="365" t="n">
        <x:f>IF(A13="","",0.5*TAN(RADIANS(A13)))</x:f>
        <x:v>0.6350102870407124</x:v>
      </x:c>
      <x:c r="U13" s="365" t="n">
        <x:f>IF(A13="","",0.5)</x:f>
        <x:v>0.5</x:v>
      </x:c>
      <x:c r="V13" s="365" t="n">
        <x:f>IF(A13="","",SQRT(2))</x:f>
        <x:v>1.4142135623730951</x:v>
      </x:c>
      <x:c r="W13" s="365" t="n">
        <x:f>IF(A13="","",SQRT(T13^2+U13^2))</x:f>
        <x:v>0.8082314425011736</x:v>
      </x:c>
      <x:c r="X13" s="365" t="n">
        <x:f>IF(A13="","",SQRT(T13^2+2*U13^2))</x:f>
        <x:v>0.9503883756904479</x:v>
      </x:c>
      <x:c r="Y13" s="127"/>
      <x:c r="Z13" s="127"/>
      <x:c r="AA13" s="127"/>
      <x:c r="AB13" s="127"/>
      <x:c r="AC13" s="127"/>
      <x:c r="AD13" s="127"/>
      <x:c r="AE13" s="127"/>
      <x:c r="AF13" s="127"/>
      <x:c r="AG13" s="127"/>
      <x:c r="AH13" s="127"/>
      <x:c r="AI13" s="127"/>
      <x:c r="AJ13" s="127" t="n">
        <x:f>A146</x:f>
        <x:v>51.850000000000335</x:v>
      </x:c>
      <x:c r="AK13" s="127" t="n">
        <x:f>P146</x:f>
        <x:v>0.00018672795258108818</x:v>
      </x:c>
      <x:c r="AL13" s="127" t="n">
        <x:f>R146</x:f>
        <x:v>0.000504463338906492</x:v>
      </x:c>
    </x:row>
    <x:row r="14">
      <x:c r="A14" s="367" t="n">
        <x:f>IF(A13="","",IF(A13+'00_Start'!$B$12&lt;='00_Start'!$B$11,A13+'00_Start'!$B$12,""))</x:f>
        <x:v>51.78400000000002</x:v>
      </x:c>
      <x:c r="B14" s="367" t="n">
        <x:f>IF(A14="","",2/TAN(RADIANS(A14)))</x:f>
        <x:v>1.5747493642969437</x:v>
      </x:c>
      <x:c r="C14" s="369" t="n">
        <x:f>IF($A14="","",ABS(2/T14-'02_Constants'!$D$6)/'02_Constants'!$D$6)</x:f>
        <x:v>0.002516581834713749</x:v>
      </x:c>
      <x:c r="D14" s="369" t="n">
        <x:f>IF($A14="","",ABS(2/(T14+2*V14)-'02_Constants'!$D$7)/'02_Constants'!$D$7)</x:f>
        <x:v>0.0004217230315241365</x:v>
      </x:c>
      <x:c r="E14" s="369" t="n">
        <x:f>IF($A14="","",ABS((T14+2*V14)/2-'02_Constants'!$D$8)/'02_Constants'!$D$8)</x:f>
        <x:v>0.00018844772526611575</x:v>
      </x:c>
      <x:c r="F14" s="369" t="n">
        <x:f>IF($A14="","",ABS((T14+2*V14)/V14-'02_Constants'!$D$9)/'02_Constants'!$D$9)</x:f>
        <x:v>0.00018844772526611245</x:v>
      </x:c>
      <x:c r="G14" s="369" t="n">
        <x:f>IF($A14="","",ABS(V14-'02_Constants'!$D$10)/'02_Constants'!$D$10)</x:f>
        <x:v>0</x:v>
      </x:c>
      <x:c r="H14" s="369" t="n">
        <x:f>IF($A14="","",ABS((W14+1)/W14-'02_Constants'!$D$11)/'02_Constants'!$D$11)</x:f>
        <x:v>0.0005311422927824946</x:v>
      </x:c>
      <x:c r="I14" s="369" t="n">
        <x:f>IF($A14="","",ABS((U14+2*V14)/(W14+1)-'02_Constants'!$D$12)/'02_Constants'!$D$12)</x:f>
        <x:v>0.0007680709898215613</x:v>
      </x:c>
      <x:c r="J14" s="369" t="n">
        <x:f>IF($A14="","",ABS(X14/U14-'02_Constants'!$D$13)/'02_Constants'!$D$13)</x:f>
        <x:v>0.0007194954664899379</x:v>
      </x:c>
      <x:c r="K14" s="369" t="n">
        <x:f>IF($A14="","",ABS(W14/(W14+U14)-'02_Constants'!$D$14)/'02_Constants'!$D$14)</x:f>
        <x:v>0.0003668756507397775</x:v>
      </x:c>
      <x:c r="L14" s="369" t="n">
        <x:f>IF($A14="","",ABS(W14/U14-'02_Constants'!$D$15)/'02_Constants'!$D$15)</x:f>
        <x:v>0.0009599230963505335</x:v>
      </x:c>
      <x:c r="M14" s="369" t="n">
        <x:f>IF($A14="","",ABS(2*A14/(90-A14)-'02_Constants'!$D$16)/'02_Constants'!$D$16)</x:f>
        <x:v>0.0030213009408631177</x:v>
      </x:c>
      <x:c r="N14" s="369" t="n">
        <x:f>IF($A14="","",ABS(2*A14/(90-A14)-1-'02_Constants'!$D$17)/'02_Constants'!$D$17)</x:f>
        <x:v>0.004779627712887833</x:v>
      </x:c>
      <x:c r="O14" s="369" t="n">
        <x:f>IF(A14="","",AVERAGE(C14:N14))</x:f>
        <x:v>0.0012051363722254474</x:v>
      </x:c>
      <x:c r="P14" s="369" t="n">
        <x:f>IF(A14="","",SUMPRODUCT(C14:N14,'03_12_Errors'!$P$4:$AA$4)/SUM('03_12_Errors'!$P$4:$AA$4))</x:f>
        <x:v>0.0014650220764239634</x:v>
      </x:c>
      <x:c r="Q14" s="369" t="n">
        <x:f>IF(A14="","",SQRT(SUMSQ(C14:N14)/12))</x:f>
        <x:v>0.0018484436919205623</x:v>
      </x:c>
      <x:c r="R14" s="369" t="n">
        <x:f>IF(A14="","",MAX(C14:N14))</x:f>
        <x:v>0.004779627712887833</x:v>
      </x:c>
      <x:c r="S14" s="390" t="n">
        <x:f>IF(A14="","",COUNTIF(C14:N14,"&lt;="&amp;'00_Start'!$B$7))</x:f>
        <x:v>9</x:v>
      </x:c>
      <x:c r="T14" s="365" t="n">
        <x:f>IF(A14="","",0.5*TAN(RADIANS(A14)))</x:f>
        <x:v>0.6350216883221007</x:v>
      </x:c>
      <x:c r="U14" s="365" t="n">
        <x:f>IF(A14="","",0.5)</x:f>
        <x:v>0.5</x:v>
      </x:c>
      <x:c r="V14" s="365" t="n">
        <x:f>IF(A14="","",SQRT(2))</x:f>
        <x:v>1.4142135623730951</x:v>
      </x:c>
      <x:c r="W14" s="365" t="n">
        <x:f>IF(A14="","",SQRT(T14^2+U14^2))</x:f>
        <x:v>0.8082404002767068</x:v>
      </x:c>
      <x:c r="X14" s="365" t="n">
        <x:f>IF(A14="","",SQRT(T14^2+2*U14^2))</x:f>
        <x:v>0.9503959935939604</x:v>
      </x:c>
      <x:c r="Y14" s="127"/>
      <x:c r="Z14" s="127"/>
      <x:c r="AA14" s="127"/>
      <x:c r="AB14" s="127"/>
      <x:c r="AC14" s="127"/>
      <x:c r="AD14" s="127"/>
      <x:c r="AE14" s="127"/>
      <x:c r="AF14" s="127"/>
      <x:c r="AG14" s="127"/>
      <x:c r="AH14" s="127"/>
      <x:c r="AI14" s="127"/>
      <x:c r="AJ14" s="127" t="n">
        <x:f>A166</x:f>
        <x:v>51.86000000000038</x:v>
      </x:c>
      <x:c r="AK14" s="127" t="n">
        <x:f>P166</x:f>
        <x:v>0.00033190294382538907</x:v>
      </x:c>
      <x:c r="AL14" s="127" t="n">
        <x:f>R166</x:f>
        <x:v>0.0007268305692980756</x:v>
      </x:c>
    </x:row>
    <x:row r="15">
      <x:c r="A15" s="367" t="n">
        <x:f>IF(A14="","",IF(A14+'00_Start'!$B$12&lt;='00_Start'!$B$11,A14+'00_Start'!$B$12,""))</x:f>
        <x:v>51.78450000000002</x:v>
      </x:c>
      <x:c r="B15" s="367" t="n">
        <x:f>IF(A15="","",2/TAN(RADIANS(A15)))</x:f>
        <x:v>1.5747210908748341</x:v>
      </x:c>
      <x:c r="C15" s="369" t="n">
        <x:f>IF($A15="","",ABS(2/T15-'02_Constants'!$D$6)/'02_Constants'!$D$6)</x:f>
        <x:v>0.0024985824151663233</x:v>
      </x:c>
      <x:c r="D15" s="369" t="n">
        <x:f>IF($A15="","",ABS(2/(T15+2*V15)-'02_Constants'!$D$7)/'02_Constants'!$D$7)</x:f>
        <x:v>0.0004184296943122095</x:v>
      </x:c>
      <x:c r="E15" s="369" t="n">
        <x:f>IF($A15="","",ABS((T15+2*V15)/2-'02_Constants'!$D$8)/'02_Constants'!$D$8)</x:f>
        <x:v>0.00018515638587022478</x:v>
      </x:c>
      <x:c r="F15" s="369" t="n">
        <x:f>IF($A15="","",ABS((T15+2*V15)/V15-'02_Constants'!$D$9)/'02_Constants'!$D$9)</x:f>
        <x:v>0.00018515638587017497</x:v>
      </x:c>
      <x:c r="G15" s="369" t="n">
        <x:f>IF($A15="","",ABS(V15-'02_Constants'!$D$10)/'02_Constants'!$D$10)</x:f>
        <x:v>0</x:v>
      </x:c>
      <x:c r="H15" s="369" t="n">
        <x:f>IF($A15="","",ABS((W15+1)/W15-'02_Constants'!$D$11)/'02_Constants'!$D$11)</x:f>
        <x:v>0.0005250097320095685</x:v>
      </x:c>
      <x:c r="I15" s="369" t="n">
        <x:f>IF($A15="","",ABS((U15+2*V15)/(W15+1)-'02_Constants'!$D$12)/'02_Constants'!$D$12)</x:f>
        <x:v>0.0007631132023266407</x:v>
      </x:c>
      <x:c r="J15" s="369" t="n">
        <x:f>IF($A15="","",ABS(X15/U15-'02_Constants'!$D$13)/'02_Constants'!$D$13)</x:f>
        <x:v>0.0007114854717941686</x:v>
      </x:c>
      <x:c r="K15" s="369" t="n">
        <x:f>IF($A15="","",ABS(W15/(W15+U15)-'02_Constants'!$D$14)/'02_Constants'!$D$14)</x:f>
        <x:v>0.00036264124622526183</x:v>
      </x:c>
      <x:c r="L15" s="369" t="n">
        <x:f>IF($A15="","",ABS(W15/U15-'02_Constants'!$D$15)/'02_Constants'!$D$15)</x:f>
        <x:v>0.000948850355343313</x:v>
      </x:c>
      <x:c r="M15" s="369" t="n">
        <x:f>IF($A15="","",ABS(2*A15/(90-A15)-'02_Constants'!$D$16)/'02_Constants'!$D$16)</x:f>
        <x:v>0.002998630328396903</x:v>
      </x:c>
      <x:c r="N15" s="369" t="n">
        <x:f>IF($A15="","",ABS(2*A15/(90-A15)-1-'02_Constants'!$D$17)/'02_Constants'!$D$17)</x:f>
        <x:v>0.00474376333203582</x:v>
      </x:c>
      <x:c r="O15" s="369" t="n">
        <x:f>IF(A15="","",AVERAGE(C15:N15))</x:f>
        <x:v>0.001195068212445884</x:v>
      </x:c>
      <x:c r="P15" s="369" t="n">
        <x:f>IF(A15="","",SUMPRODUCT(C15:N15,'03_12_Errors'!$P$4:$AA$4)/SUM('03_12_Errors'!$P$4:$AA$4))</x:f>
        <x:v>0.0014532431976745134</x:v>
      </x:c>
      <x:c r="Q15" s="369" t="n">
        <x:f>IF(A15="","",SQRT(SUMSQ(C15:N15)/12))</x:f>
        <x:v>0.0018343402967372676</x:v>
      </x:c>
      <x:c r="R15" s="369" t="n">
        <x:f>IF(A15="","",MAX(C15:N15))</x:f>
        <x:v>0.00474376333203582</x:v>
      </x:c>
      <x:c r="S15" s="390" t="n">
        <x:f>IF(A15="","",COUNTIF(C15:N15,"&lt;="&amp;'00_Start'!$B$7))</x:f>
        <x:v>9</x:v>
      </x:c>
      <x:c r="T15" s="365" t="n">
        <x:f>IF(A15="","",0.5*TAN(RADIANS(A15)))</x:f>
        <x:v>0.6350330898562179</x:v>
      </x:c>
      <x:c r="U15" s="365" t="n">
        <x:f>IF(A15="","",0.5)</x:f>
        <x:v>0.5</x:v>
      </x:c>
      <x:c r="V15" s="365" t="n">
        <x:f>IF(A15="","",SQRT(2))</x:f>
        <x:v>1.4142135623730951</x:v>
      </x:c>
      <x:c r="W15" s="365" t="n">
        <x:f>IF(A15="","",SQRT(T15^2+U15^2))</x:f>
        <x:v>0.808249358312356</x:v>
      </x:c>
      <x:c r="X15" s="365" t="n">
        <x:f>IF(A15="","",SQRT(T15^2+2*U15^2))</x:f>
        <x:v>0.950403611742051</x:v>
      </x:c>
      <x:c r="Y15" s="127"/>
      <x:c r="Z15" s="127"/>
      <x:c r="AA15" s="127"/>
      <x:c r="AB15" s="127"/>
      <x:c r="AC15" s="127"/>
      <x:c r="AD15" s="127"/>
      <x:c r="AE15" s="127"/>
      <x:c r="AF15" s="127"/>
      <x:c r="AG15" s="127"/>
      <x:c r="AH15" s="127"/>
      <x:c r="AI15" s="127"/>
      <x:c r="AJ15" s="127" t="n">
        <x:f>A186</x:f>
        <x:v>51.87000000000043</x:v>
      </x:c>
      <x:c r="AK15" s="127" t="n">
        <x:f>P186</x:f>
        <x:v>0.0005635980292903554</x:v>
      </x:c>
      <x:c r="AL15" s="127" t="n">
        <x:f>R186</x:f>
        <x:v>0.0014028779884000182</x:v>
      </x:c>
    </x:row>
    <x:row r="16">
      <x:c r="A16" s="367" t="n">
        <x:f>IF(A15="","",IF(A15+'00_Start'!$B$12&lt;='00_Start'!$B$11,A15+'00_Start'!$B$12,""))</x:f>
        <x:v>51.785000000000025</x:v>
      </x:c>
      <x:c r="B16" s="367" t="n">
        <x:f>IF(A16="","",2/TAN(RADIANS(A16)))</x:f>
        <x:v>1.5746928178412565</x:v>
      </x:c>
      <x:c r="C16" s="369" t="n">
        <x:f>IF($A16="","",ABS(2/T16-'02_Constants'!$D$6)/'02_Constants'!$D$6)</x:f>
        <x:v>0.00248058324296597</x:v>
      </x:c>
      <x:c r="D16" s="369" t="n">
        <x:f>IF($A16="","",ABS(2/(T16+2*V16)-'02_Constants'!$D$7)/'02_Constants'!$D$7)</x:f>
        <x:v>0.0004151363057802119</x:v>
      </x:c>
      <x:c r="E16" s="369" t="n">
        <x:f>IF($A16="","",ABS((T16+2*V16)/2-'02_Constants'!$D$8)/'02_Constants'!$D$8)</x:f>
        <x:v>0.00018186497351495014</x:v>
      </x:c>
      <x:c r="F16" s="369" t="n">
        <x:f>IF($A16="","",ABS((T16+2*V16)/V16-'02_Constants'!$D$9)/'02_Constants'!$D$9)</x:f>
        <x:v>0.00018186497351494263</x:v>
      </x:c>
      <x:c r="G16" s="369" t="n">
        <x:f>IF($A16="","",ABS(V16-'02_Constants'!$D$10)/'02_Constants'!$D$10)</x:f>
        <x:v>0</x:v>
      </x:c>
      <x:c r="H16" s="369" t="n">
        <x:f>IF($A16="","",ABS((W16+1)/W16-'02_Constants'!$D$11)/'02_Constants'!$D$11)</x:f>
        <x:v>0.0005188771290994981</x:v>
      </x:c>
      <x:c r="I16" s="369" t="n">
        <x:f>IF($A16="","",ABS((U16+2*V16)/(W16+1)-'02_Constants'!$D$12)/'02_Constants'!$D$12)</x:f>
        <x:v>0.0007581553199895124</x:v>
      </x:c>
      <x:c r="J16" s="369" t="n">
        <x:f>IF($A16="","",ABS(X16/U16-'02_Constants'!$D$13)/'02_Constants'!$D$13)</x:f>
        <x:v>0.0007034752199297681</x:v>
      </x:c>
      <x:c r="K16" s="369" t="n">
        <x:f>IF($A16="","",ABS(W16/(W16+U16)-'02_Constants'!$D$14)/'02_Constants'!$D$14)</x:f>
        <x:v>0.0003584067767420199</x:v>
      </x:c>
      <x:c r="L16" s="369" t="n">
        <x:f>IF($A16="","",ABS(W16/U16-'02_Constants'!$D$15)/'02_Constants'!$D$15)</x:f>
        <x:v>0.0009377772928026347</x:v>
      </x:c>
      <x:c r="M16" s="369" t="n">
        <x:f>IF($A16="","",ABS(2*A16/(90-A16)-'02_Constants'!$D$16)/'02_Constants'!$D$16)</x:f>
        <x:v>0.0029759591226919575</x:v>
      </x:c>
      <x:c r="N16" s="369" t="n">
        <x:f>IF($A16="","",ABS(2*A16/(90-A16)-1-'02_Constants'!$D$17)/'02_Constants'!$D$17)</x:f>
        <x:v>0.004707898012693953</x:v>
      </x:c>
      <x:c r="O16" s="369" t="n">
        <x:f>IF(A16="","",AVERAGE(C16:N16))</x:f>
        <x:v>0.001184999864143785</x:v>
      </x:c>
      <x:c r="P16" s="369" t="n">
        <x:f>IF(A16="","",SUMPRODUCT(C16:N16,'03_12_Errors'!$P$4:$AA$4)/SUM('03_12_Errors'!$P$4:$AA$4))</x:f>
        <x:v>0.0014414641390660488</x:v>
      </x:c>
      <x:c r="Q16" s="369" t="n">
        <x:f>IF(A16="","",SQRT(SUMSQ(C16:N16)/12))</x:f>
        <x:v>0.001820238297829018</x:v>
      </x:c>
      <x:c r="R16" s="369" t="n">
        <x:f>IF(A16="","",MAX(C16:N16))</x:f>
        <x:v>0.004707898012693953</x:v>
      </x:c>
      <x:c r="S16" s="390" t="n">
        <x:f>IF(A16="","",COUNTIF(C16:N16,"&lt;="&amp;'00_Start'!$B$7))</x:f>
        <x:v>9</x:v>
      </x:c>
      <x:c r="T16" s="365" t="n">
        <x:f>IF(A16="","",0.5*TAN(RADIANS(A16)))</x:f>
        <x:v>0.6350444916430737</x:v>
      </x:c>
      <x:c r="U16" s="365" t="n">
        <x:f>IF(A16="","",0.5)</x:f>
        <x:v>0.5</x:v>
      </x:c>
      <x:c r="V16" s="365" t="n">
        <x:f>IF(A16="","",SQRT(2))</x:f>
        <x:v>1.4142135623730951</x:v>
      </x:c>
      <x:c r="W16" s="365" t="n">
        <x:f>IF(A16="","",SQRT(T16^2+U16^2))</x:f>
        <x:v>0.8082583166081312</x:v>
      </x:c>
      <x:c r="X16" s="365" t="n">
        <x:f>IF(A16="","",SQRT(T16^2+2*U16^2))</x:f>
        <x:v>0.9504112301347296</x:v>
      </x:c>
      <x:c r="Y16" s="127"/>
      <x:c r="Z16" s="127"/>
      <x:c r="AA16" s="127"/>
      <x:c r="AB16" s="127"/>
      <x:c r="AC16" s="127"/>
      <x:c r="AD16" s="127"/>
      <x:c r="AE16" s="127"/>
      <x:c r="AF16" s="127"/>
      <x:c r="AG16" s="127"/>
      <x:c r="AH16" s="127"/>
      <x:c r="AI16" s="127"/>
      <x:c r="AJ16" s="127" t="n">
        <x:f>A206</x:f>
        <x:v>51.88000000000048</x:v>
      </x:c>
      <x:c r="AK16" s="127" t="n">
        <x:f>P206</x:f>
        <x:v>0.000799831624927115</x:v>
      </x:c>
      <x:c r="AL16" s="127" t="n">
        <x:f>R206</x:f>
        <x:v>0.002123584441340739</x:v>
      </x:c>
    </x:row>
    <x:row r="17">
      <x:c r="A17" s="367" t="n">
        <x:f>IF(A16="","",IF(A16+'00_Start'!$B$12&lt;='00_Start'!$B$11,A16+'00_Start'!$B$12,""))</x:f>
        <x:v>51.78550000000003</x:v>
      </x:c>
      <x:c r="B17" s="367" t="n">
        <x:f>IF(A17="","",2/TAN(RADIANS(A17)))</x:f>
        <x:v>1.5746645451961987</x:v>
      </x:c>
      <x:c r="C17" s="369" t="n">
        <x:f>IF($A17="","",ABS(2/T17-'02_Constants'!$D$6)/'02_Constants'!$D$6)</x:f>
        <x:v>0.002462584318105056</x:v>
      </x:c>
      <x:c r="D17" s="369" t="n">
        <x:f>IF($A17="","",ABS(2/(T17+2*V17)-'02_Constants'!$D$7)/'02_Constants'!$D$7)</x:f>
        <x:v>0.0004118428659267972</x:v>
      </x:c>
      <x:c r="E17" s="369" t="n">
        <x:f>IF($A17="","",ABS((T17+2*V17)/2-'02_Constants'!$D$8)/'02_Constants'!$D$8)</x:f>
        <x:v>0.00017857348819759968</x:v>
      </x:c>
      <x:c r="F17" s="369" t="n">
        <x:f>IF($A17="","",ABS((T17+2*V17)/V17-'02_Constants'!$D$9)/'02_Constants'!$D$9)</x:f>
        <x:v>0.00017857348819769596</x:v>
      </x:c>
      <x:c r="G17" s="369" t="n">
        <x:f>IF($A17="","",ABS(V17-'02_Constants'!$D$10)/'02_Constants'!$D$10)</x:f>
        <x:v>0</x:v>
      </x:c>
      <x:c r="H17" s="369" t="n">
        <x:f>IF($A17="","",ABS((W17+1)/W17-'02_Constants'!$D$11)/'02_Constants'!$D$11)</x:f>
        <x:v>0.0005127444840532761</x:v>
      </x:c>
      <x:c r="I17" s="369" t="n">
        <x:f>IF($A17="","",ABS((U17+2*V17)/(W17+1)-'02_Constants'!$D$12)/'02_Constants'!$D$12)</x:f>
        <x:v>0.0007531973428083656</x:v>
      </x:c>
      <x:c r="J17" s="369" t="n">
        <x:f>IF($A17="","",ABS(X17/U17-'02_Constants'!$D$13)/'02_Constants'!$D$13)</x:f>
        <x:v>0.0006954647108864643</x:v>
      </x:c>
      <x:c r="K17" s="369" t="n">
        <x:f>IF($A17="","",ABS(W17/(W17+U17)-'02_Constants'!$D$14)/'02_Constants'!$D$14)</x:f>
        <x:v>0.0003541722422893332</x:v>
      </x:c>
      <x:c r="L17" s="369" t="n">
        <x:f>IF($A17="","",ABS(W17/U17-'02_Constants'!$D$15)/'02_Constants'!$D$15)</x:f>
        <x:v>0.0009267039087166963</x:v>
      </x:c>
      <x:c r="M17" s="369" t="n">
        <x:f>IF($A17="","",ABS(2*A17/(90-A17)-'02_Constants'!$D$16)/'02_Constants'!$D$16)</x:f>
        <x:v>0.002953287323725246</x:v>
      </x:c>
      <x:c r="N17" s="369" t="n">
        <x:f>IF($A17="","",ABS(2*A17/(90-A17)-1-'02_Constants'!$D$17)/'02_Constants'!$D$17)</x:f>
        <x:v>0.0046720317548257905</x:v>
      </x:c>
      <x:c r="O17" s="369" t="n">
        <x:f>IF(A17="","",AVERAGE(C17:N17))</x:f>
        <x:v>0.0011749313273110267</x:v>
      </x:c>
      <x:c r="P17" s="369" t="n">
        <x:f>IF(A17="","",SUMPRODUCT(C17:N17,'03_12_Errors'!$P$4:$AA$4)/SUM('03_12_Errors'!$P$4:$AA$4))</x:f>
        <x:v>0.0014296849005893115</x:v>
      </x:c>
      <x:c r="Q17" s="369" t="n">
        <x:f>IF(A17="","",SQRT(SUMSQ(C17:N17)/12))</x:f>
        <x:v>0.0018061377347997477</x:v>
      </x:c>
      <x:c r="R17" s="369" t="n">
        <x:f>IF(A17="","",MAX(C17:N17))</x:f>
        <x:v>0.0046720317548257905</x:v>
      </x:c>
      <x:c r="S17" s="390" t="n">
        <x:f>IF(A17="","",COUNTIF(C17:N17,"&lt;="&amp;'00_Start'!$B$7))</x:f>
        <x:v>9</x:v>
      </x:c>
      <x:c r="T17" s="365" t="n">
        <x:f>IF(A17="","",0.5*TAN(RADIANS(A17)))</x:f>
        <x:v>0.6350558936826782</x:v>
      </x:c>
      <x:c r="U17" s="365" t="n">
        <x:f>IF(A17="","",0.5)</x:f>
        <x:v>0.5</x:v>
      </x:c>
      <x:c r="V17" s="365" t="n">
        <x:f>IF(A17="","",SQRT(2))</x:f>
        <x:v>1.4142135623730951</x:v>
      </x:c>
      <x:c r="W17" s="365" t="n">
        <x:f>IF(A17="","",SQRT(T17^2+U17^2))</x:f>
        <x:v>0.808267275164042</x:v>
      </x:c>
      <x:c r="X17" s="365" t="n">
        <x:f>IF(A17="","",SQRT(T17^2+2*U17^2))</x:f>
        <x:v>0.950418848772006</x:v>
      </x:c>
      <x:c r="Y17" s="127"/>
      <x:c r="Z17" s="127"/>
      <x:c r="AA17" s="127"/>
      <x:c r="AB17" s="127"/>
      <x:c r="AC17" s="127"/>
      <x:c r="AD17" s="127"/>
      <x:c r="AE17" s="127"/>
      <x:c r="AF17" s="127"/>
      <x:c r="AG17" s="127"/>
      <x:c r="AH17" s="127"/>
      <x:c r="AI17" s="127"/>
      <x:c r="AJ17" s="127" t="n">
        <x:f>A226</x:f>
        <x:v>51.890000000000526</x:v>
      </x:c>
      <x:c r="AK17" s="127" t="n">
        <x:f>P226</x:f>
        <x:v>0.0010361378949621564</x:v>
      </x:c>
      <x:c r="AL17" s="127" t="n">
        <x:f>R226</x:f>
        <x:v>0.0028446691186071508</x:v>
      </x:c>
    </x:row>
    <x:row r="18">
      <x:c r="A18" s="367" t="n">
        <x:f>IF(A17="","",IF(A17+'00_Start'!$B$12&lt;='00_Start'!$B$11,A17+'00_Start'!$B$12,""))</x:f>
        <x:v>51.78600000000003</x:v>
      </x:c>
      <x:c r="B18" s="367" t="n">
        <x:f>IF(A18="","",2/TAN(RADIANS(A18)))</x:f>
        <x:v>1.574636272939647</x:v>
      </x:c>
      <x:c r="C18" s="369" t="n">
        <x:f>IF($A18="","",ABS(2/T18-'02_Constants'!$D$6)/'02_Constants'!$D$6)</x:f>
        <x:v>0.0024445856405748176</x:v>
      </x:c>
      <x:c r="D18" s="369" t="n">
        <x:f>IF($A18="","",ABS(2/(T18+2*V18)-'02_Constants'!$D$7)/'02_Constants'!$D$7)</x:f>
        <x:v>0.00040854937474965743</x:v>
      </x:c>
      <x:c r="E18" s="369" t="n">
        <x:f>IF($A18="","",ABS((T18+2*V18)/2-'02_Constants'!$D$8)/'02_Constants'!$D$8)</x:f>
        <x:v>0.00017528192991471205</x:v>
      </x:c>
      <x:c r="F18" s="369" t="n">
        <x:f>IF($A18="","",ABS((T18+2*V18)/V18-'02_Constants'!$D$9)/'02_Constants'!$D$9)</x:f>
        <x:v>0.000175281929914809</x:v>
      </x:c>
      <x:c r="G18" s="369" t="n">
        <x:f>IF($A18="","",ABS(V18-'02_Constants'!$D$10)/'02_Constants'!$D$10)</x:f>
        <x:v>0</x:v>
      </x:c>
      <x:c r="H18" s="369" t="n">
        <x:f>IF($A18="","",ABS((W18+1)/W18-'02_Constants'!$D$11)/'02_Constants'!$D$11)</x:f>
        <x:v>0.0005066117968705054</x:v>
      </x:c>
      <x:c r="I18" s="369" t="n">
        <x:f>IF($A18="","",ABS((U18+2*V18)/(W18+1)-'02_Constants'!$D$12)/'02_Constants'!$D$12)</x:f>
        <x:v>0.0007482392707809065</x:v>
      </x:c>
      <x:c r="J18" s="369" t="n">
        <x:f>IF($A18="","",ABS(X18/U18-'02_Constants'!$D$13)/'02_Constants'!$D$13)</x:f>
        <x:v>0.000687453944653401</x:v>
      </x:c>
      <x:c r="K18" s="369" t="n">
        <x:f>IF($A18="","",ABS(W18/(W18+U18)-'02_Constants'!$D$14)/'02_Constants'!$D$14)</x:f>
        <x:v>0.0003499376428657646</x:v>
      </x:c>
      <x:c r="L18" s="369" t="n">
        <x:f>IF($A18="","",ABS(W18/U18-'02_Constants'!$D$15)/'02_Constants'!$D$15)</x:f>
        <x:v>0.0009156302030723239</x:v>
      </x:c>
      <x:c r="M18" s="369" t="n">
        <x:f>IF($A18="","",ABS(2*A18/(90-A18)-'02_Constants'!$D$16)/'02_Constants'!$D$16)</x:f>
        <x:v>0.002930614931473406</x:v>
      </x:c>
      <x:c r="N18" s="369" t="n">
        <x:f>IF($A18="","",ABS(2*A18/(90-A18)-1-'02_Constants'!$D$17)/'02_Constants'!$D$17)</x:f>
        <x:v>0.004636164558394376</x:v>
      </x:c>
      <x:c r="O18" s="369" t="n">
        <x:f>IF(A18="","",AVERAGE(C18:N18))</x:f>
        <x:v>0.0011648626019387233</x:v>
      </x:c>
      <x:c r="P18" s="369" t="n">
        <x:f>IF(A18="","",SUMPRODUCT(C18:N18,'03_12_Errors'!$P$4:$AA$4)/SUM('03_12_Errors'!$P$4:$AA$4))</x:f>
        <x:v>0.0014179054822342683</x:v>
      </x:c>
      <x:c r="Q18" s="369" t="n">
        <x:f>IF(A18="","",SQRT(SUMSQ(C18:N18)/12))</x:f>
        <x:v>0.0017920386484966534</x:v>
      </x:c>
      <x:c r="R18" s="369" t="n">
        <x:f>IF(A18="","",MAX(C18:N18))</x:f>
        <x:v>0.004636164558394376</x:v>
      </x:c>
      <x:c r="S18" s="390" t="n">
        <x:f>IF(A18="","",COUNTIF(C18:N18,"&lt;="&amp;'00_Start'!$B$7))</x:f>
        <x:v>9</x:v>
      </x:c>
      <x:c r="T18" s="365" t="n">
        <x:f>IF(A18="","",0.5*TAN(RADIANS(A18)))</x:f>
        <x:v>0.6350672959750421</x:v>
      </x:c>
      <x:c r="U18" s="365" t="n">
        <x:f>IF(A18="","",0.5)</x:f>
        <x:v>0.5</x:v>
      </x:c>
      <x:c r="V18" s="365" t="n">
        <x:f>IF(A18="","",SQRT(2))</x:f>
        <x:v>1.4142135623730951</x:v>
      </x:c>
      <x:c r="W18" s="365" t="n">
        <x:f>IF(A18="","",SQRT(T18^2+U18^2))</x:f>
        <x:v>0.808276233980099</x:v>
      </x:c>
      <x:c r="X18" s="365" t="n">
        <x:f>IF(A18="","",SQRT(T18^2+2*U18^2))</x:f>
        <x:v>0.9504264676538905</x:v>
      </x:c>
      <x:c r="Y18" s="127"/>
      <x:c r="Z18" s="127"/>
      <x:c r="AA18" s="127"/>
      <x:c r="AB18" s="127"/>
      <x:c r="AC18" s="127"/>
      <x:c r="AD18" s="127"/>
      <x:c r="AE18" s="127"/>
      <x:c r="AF18" s="127"/>
      <x:c r="AG18" s="127"/>
      <x:c r="AH18" s="127"/>
      <x:c r="AI18" s="127"/>
      <x:c r="AJ18" s="127" t="n">
        <x:f>A246</x:f>
        <x:v>51.900000000000574</x:v>
      </x:c>
      <x:c r="AK18" s="127" t="n">
        <x:f>P246</x:f>
        <x:v>0.001272516916238852</x:v>
      </x:c>
      <x:c r="AL18" s="127" t="n">
        <x:f>R246</x:f>
        <x:v>0.003566132318013801</x:v>
      </x:c>
    </x:row>
    <x:row r="19">
      <x:c r="A19" s="367" t="n">
        <x:f>IF(A18="","",IF(A18+'00_Start'!$B$12&lt;='00_Start'!$B$11,A18+'00_Start'!$B$12,""))</x:f>
        <x:v>51.78650000000003</x:v>
      </x:c>
      <x:c r="B19" s="367" t="n">
        <x:f>IF(A19="","",2/TAN(RADIANS(A19)))</x:f>
        <x:v>1.5746080010715908</x:v>
      </x:c>
      <x:c r="C19" s="369" t="n">
        <x:f>IF($A19="","",ABS(2/T19-'02_Constants'!$D$6)/'02_Constants'!$D$6)</x:f>
        <x:v>0.0024265872103684688</x:v>
      </x:c>
      <x:c r="D19" s="369" t="n">
        <x:f>IF($A19="","",ABS(2/(T19+2*V19)-'02_Constants'!$D$7)/'02_Constants'!$D$7)</x:f>
        <x:v>0.0004052558322474462</x:v>
      </x:c>
      <x:c r="E19" s="369" t="n">
        <x:f>IF($A19="","",ABS((T19+2*V19)/2-'02_Constants'!$D$8)/'02_Constants'!$D$8)</x:f>
        <x:v>0.0001719902986638515</x:v>
      </x:c>
      <x:c r="F19" s="369" t="n">
        <x:f>IF($A19="","",ABS((T19+2*V19)/V19-'02_Constants'!$D$9)/'02_Constants'!$D$9)</x:f>
        <x:v>0.00017199029866392487</x:v>
      </x:c>
      <x:c r="G19" s="369" t="n">
        <x:f>IF($A19="","",ABS(V19-'02_Constants'!$D$10)/'02_Constants'!$D$10)</x:f>
        <x:v>0</x:v>
      </x:c>
      <x:c r="H19" s="369" t="n">
        <x:f>IF($A19="","",ABS((W19+1)/W19-'02_Constants'!$D$11)/'02_Constants'!$D$11)</x:f>
        <x:v>0.0005004790675519804</x:v>
      </x:c>
      <x:c r="I19" s="369" t="n">
        <x:f>IF($A19="","",ABS((U19+2*V19)/(W19+1)-'02_Constants'!$D$12)/'02_Constants'!$D$12)</x:f>
        <x:v>0.0007432811039056865</x:v>
      </x:c>
      <x:c r="J19" s="369" t="n">
        <x:f>IF($A19="","",ABS(X19/U19-'02_Constants'!$D$13)/'02_Constants'!$D$13)</x:f>
        <x:v>0.0006794429212204221</x:v>
      </x:c>
      <x:c r="K19" s="369" t="n">
        <x:f>IF($A19="","",ABS(W19/(W19+U19)-'02_Constants'!$D$14)/'02_Constants'!$D$14)</x:f>
        <x:v>0.00034570297847095485</x:v>
      </x:c>
      <x:c r="L19" s="369" t="n">
        <x:f>IF($A19="","",ABS(W19/U19-'02_Constants'!$D$15)/'02_Constants'!$D$15)</x:f>
        <x:v>0.0009045561758577154</x:v>
      </x:c>
      <x:c r="M19" s="369" t="n">
        <x:f>IF($A19="","",ABS(2*A19/(90-A19)-'02_Constants'!$D$16)/'02_Constants'!$D$16)</x:f>
        <x:v>0.0029079419459130764</x:v>
      </x:c>
      <x:c r="N19" s="369" t="n">
        <x:f>IF($A19="","",ABS(2*A19/(90-A19)-1-'02_Constants'!$D$17)/'02_Constants'!$D$17)</x:f>
        <x:v>0.00460029642336275</x:v>
      </x:c>
      <x:c r="O19" s="369" t="n">
        <x:f>IF(A19="","",AVERAGE(C19:N19))</x:f>
        <x:v>0.0011547936880188564</x:v>
      </x:c>
      <x:c r="P19" s="369" t="n">
        <x:f>IF(A19="","",SUMPRODUCT(C19:N19,'03_12_Errors'!$P$4:$AA$4)/SUM('03_12_Errors'!$P$4:$AA$4))</x:f>
        <x:v>0.0014061258839918526</x:v>
      </x:c>
      <x:c r="Q19" s="369" t="n">
        <x:f>IF(A19="","",SQRT(SUMSQ(C19:N19)/12))</x:f>
        <x:v>0.0017779410810600496</x:v>
      </x:c>
      <x:c r="R19" s="369" t="n">
        <x:f>IF(A19="","",MAX(C19:N19))</x:f>
        <x:v>0.00460029642336275</x:v>
      </x:c>
      <x:c r="S19" s="390" t="n">
        <x:f>IF(A19="","",COUNTIF(C19:N19,"&lt;="&amp;'00_Start'!$B$7))</x:f>
        <x:v>9</x:v>
      </x:c>
      <x:c r="T19" s="365" t="n">
        <x:f>IF(A19="","",0.5*TAN(RADIANS(A19)))</x:f>
        <x:v>0.6350786985201748</x:v>
      </x:c>
      <x:c r="U19" s="365" t="n">
        <x:f>IF(A19="","",0.5)</x:f>
        <x:v>0.5</x:v>
      </x:c>
      <x:c r="V19" s="365" t="n">
        <x:f>IF(A19="","",SQRT(2))</x:f>
        <x:v>1.4142135623730951</x:v>
      </x:c>
      <x:c r="W19" s="365" t="n">
        <x:f>IF(A19="","",SQRT(T19^2+U19^2))</x:f>
        <x:v>0.8082851930563117</x:v>
      </x:c>
      <x:c r="X19" s="365" t="n">
        <x:f>IF(A19="","",SQRT(T19^2+2*U19^2))</x:f>
        <x:v>0.9504340867803928</x:v>
      </x:c>
      <x:c r="Y19" s="127"/>
      <x:c r="Z19" s="127"/>
      <x:c r="AA19" s="127"/>
      <x:c r="AB19" s="127"/>
      <x:c r="AC19" s="127"/>
      <x:c r="AD19" s="127"/>
      <x:c r="AE19" s="127"/>
      <x:c r="AF19" s="127"/>
      <x:c r="AG19" s="127"/>
      <x:c r="AH19" s="127"/>
      <x:c r="AI19" s="127"/>
      <x:c r="AJ19" s="127"/>
      <x:c r="AK19" s="127"/>
      <x:c r="AL19" s="127"/>
    </x:row>
    <x:row r="20">
      <x:c r="A20" s="367" t="n">
        <x:f>IF(A19="","",IF(A19+'00_Start'!$B$12&lt;='00_Start'!$B$11,A19+'00_Start'!$B$12,""))</x:f>
        <x:v>51.787000000000035</x:v>
      </x:c>
      <x:c r="B20" s="367" t="n">
        <x:f>IF(A20="","",2/TAN(RADIANS(A20)))</x:f>
        <x:v>1.5745797295920168</x:v>
      </x:c>
      <x:c r="C20" s="369" t="n">
        <x:f>IF($A20="","",ABS(2/T20-'02_Constants'!$D$6)/'02_Constants'!$D$6)</x:f>
        <x:v>0.002408589027477529</x:v>
      </x:c>
      <x:c r="D20" s="369" t="n">
        <x:f>IF($A20="","",ABS(2/(T20+2*V20)-'02_Constants'!$D$7)/'02_Constants'!$D$7)</x:f>
        <x:v>0.0004019622384184323</x:v>
      </x:c>
      <x:c r="E20" s="369" t="n">
        <x:f>IF($A20="","",ABS((T20+2*V20)/2-'02_Constants'!$D$8)/'02_Constants'!$D$8)</x:f>
        <x:v>0.00016869859444168493</x:v>
      </x:c>
      <x:c r="F20" s="369" t="n">
        <x:f>IF($A20="","",ABS((T20+2*V20)/V20-'02_Constants'!$D$9)/'02_Constants'!$D$9)</x:f>
        <x:v>0.00016869859444178017</x:v>
      </x:c>
      <x:c r="G20" s="369" t="n">
        <x:f>IF($A20="","",ABS(V20-'02_Constants'!$D$10)/'02_Constants'!$D$10)</x:f>
        <x:v>0</x:v>
      </x:c>
      <x:c r="H20" s="369" t="n">
        <x:f>IF($A20="","",ABS((W20+1)/W20-'02_Constants'!$D$11)/'02_Constants'!$D$11)</x:f>
        <x:v>0.0004943462960984955</x:v>
      </x:c>
      <x:c r="I20" s="369" t="n">
        <x:f>IF($A20="","",ABS((U20+2*V20)/(W20+1)-'02_Constants'!$D$12)/'02_Constants'!$D$12)</x:f>
        <x:v>0.0007383228421801704</x:v>
      </x:c>
      <x:c r="J20" s="369" t="n">
        <x:f>IF($A20="","",ABS(X20/U20-'02_Constants'!$D$13)/'02_Constants'!$D$13)</x:f>
        <x:v>0.0006714316405767886</x:v>
      </x:c>
      <x:c r="K20" s="369" t="n">
        <x:f>IF($A20="","",ABS(W20/(W20+U20)-'02_Constants'!$D$14)/'02_Constants'!$D$14)</x:f>
        <x:v>0.0003414682491038261</x:v>
      </x:c>
      <x:c r="L20" s="369" t="n">
        <x:f>IF($A20="","",ABS(W20/U20-'02_Constants'!$D$15)/'02_Constants'!$D$15)</x:f>
        <x:v>0.0008934818270602457</x:v>
      </x:c>
      <x:c r="M20" s="369" t="n">
        <x:f>IF($A20="","",ABS(2*A20/(90-A20)-'02_Constants'!$D$16)/'02_Constants'!$D$16)</x:f>
        <x:v>0.002885268367020894</x:v>
      </x:c>
      <x:c r="N20" s="369" t="n">
        <x:f>IF($A20="","",ABS(2*A20/(90-A20)-1-'02_Constants'!$D$17)/'02_Constants'!$D$17)</x:f>
        <x:v>0.004564427349693954</x:v>
      </x:c>
      <x:c r="O20" s="369" t="n">
        <x:f>IF(A20="","",AVERAGE(C20:N20))</x:f>
        <x:v>0.0011447245855428167</x:v>
      </x:c>
      <x:c r="P20" s="369" t="n">
        <x:f>IF(A20="","",SUMPRODUCT(C20:N20,'03_12_Errors'!$P$4:$AA$4)/SUM('03_12_Errors'!$P$4:$AA$4))</x:f>
        <x:v>0.0013943461058522335</x:v>
      </x:c>
      <x:c r="Q20" s="369" t="n">
        <x:f>IF(A20="","",SQRT(SUMSQ(C20:N20)/12))</x:f>
        <x:v>0.0017638450759739411</x:v>
      </x:c>
      <x:c r="R20" s="369" t="n">
        <x:f>IF(A20="","",MAX(C20:N20))</x:f>
        <x:v>0.004564427349693954</x:v>
      </x:c>
      <x:c r="S20" s="390" t="n">
        <x:f>IF(A20="","",COUNTIF(C20:N20,"&lt;="&amp;'00_Start'!$B$7))</x:f>
        <x:v>9</x:v>
      </x:c>
      <x:c r="T20" s="365" t="n">
        <x:f>IF(A20="","",0.5*TAN(RADIANS(A20)))</x:f>
        <x:v>0.6350901013180871</x:v>
      </x:c>
      <x:c r="U20" s="365" t="n">
        <x:f>IF(A20="","",0.5)</x:f>
        <x:v>0.5</x:v>
      </x:c>
      <x:c r="V20" s="365" t="n">
        <x:f>IF(A20="","",SQRT(2))</x:f>
        <x:v>1.4142135623730951</x:v>
      </x:c>
      <x:c r="W20" s="365" t="n">
        <x:f>IF(A20="","",SQRT(T20^2+U20^2))</x:f>
        <x:v>0.8082941523926905</x:v>
      </x:c>
      <x:c r="X20" s="365" t="n">
        <x:f>IF(A20="","",SQRT(T20^2+2*U20^2))</x:f>
        <x:v>0.950441706151523</x:v>
      </x:c>
      <x:c r="Y20" s="127"/>
      <x:c r="Z20" s="127"/>
      <x:c r="AA20" s="127"/>
      <x:c r="AB20" s="127"/>
      <x:c r="AC20" s="127"/>
      <x:c r="AD20" s="127"/>
      <x:c r="AE20" s="127"/>
      <x:c r="AF20" s="127"/>
      <x:c r="AG20" s="127"/>
      <x:c r="AH20" s="127"/>
      <x:c r="AI20" s="127"/>
      <x:c r="AJ20" s="127"/>
      <x:c r="AK20" s="127"/>
      <x:c r="AL20" s="127"/>
    </x:row>
    <x:row r="21">
      <x:c r="A21" s="367" t="n">
        <x:f>IF(A20="","",IF(A20+'00_Start'!$B$12&lt;='00_Start'!$B$11,A20+'00_Start'!$B$12,""))</x:f>
        <x:v>51.78750000000004</x:v>
      </x:c>
      <x:c r="B21" s="367" t="n">
        <x:f>IF(A21="","",2/TAN(RADIANS(A21)))</x:f>
        <x:v>1.5745514585009128</x:v>
      </x:c>
      <x:c r="C21" s="369" t="n">
        <x:f>IF($A21="","",ABS(2/T21-'02_Constants'!$D$6)/'02_Constants'!$D$6)</x:f>
        <x:v>0.002390591091894364</x:v>
      </x:c>
      <x:c r="D21" s="369" t="n">
        <x:f>IF($A21="","",ABS(2/(T21+2*V21)-'02_Constants'!$D$7)/'02_Constants'!$D$7)</x:f>
        <x:v>0.0003986685932608848</x:v>
      </x:c>
      <x:c r="E21" s="369" t="n">
        <x:f>IF($A21="","",ABS((T21+2*V21)/2-'02_Constants'!$D$8)/'02_Constants'!$D$8)</x:f>
        <x:v>0.00016540681724564832</x:v>
      </x:c>
      <x:c r="F21" s="369" t="n">
        <x:f>IF($A21="","",ABS((T21+2*V21)/V21-'02_Constants'!$D$9)/'02_Constants'!$D$9)</x:f>
        <x:v>0.00016540681724565545</x:v>
      </x:c>
      <x:c r="G21" s="369" t="n">
        <x:f>IF($A21="","",ABS(V21-'02_Constants'!$D$10)/'02_Constants'!$D$10)</x:f>
        <x:v>0</x:v>
      </x:c>
      <x:c r="H21" s="369" t="n">
        <x:f>IF($A21="","",ABS((W21+1)/W21-'02_Constants'!$D$11)/'02_Constants'!$D$11)</x:f>
        <x:v>0.00048821348251024946</x:v>
      </x:c>
      <x:c r="I21" s="369" t="n">
        <x:f>IF($A21="","",ABS((U21+2*V21)/(W21+1)-'02_Constants'!$D$12)/'02_Constants'!$D$12)</x:f>
        <x:v>0.0007333644856025473</x:v>
      </x:c>
      <x:c r="J21" s="369" t="n">
        <x:f>IF($A21="","",ABS(X21/U21-'02_Constants'!$D$13)/'02_Constants'!$D$13)</x:f>
        <x:v>0.0006634201027119943</x:v>
      </x:c>
      <x:c r="K21" s="369" t="n">
        <x:f>IF($A21="","",ABS(W21/(W21+U21)-'02_Constants'!$D$14)/'02_Constants'!$D$14)</x:f>
        <x:v>0.00033723345476348017</x:v>
      </x:c>
      <x:c r="L21" s="369" t="n">
        <x:f>IF($A21="","",ABS(W21/U21-'02_Constants'!$D$15)/'02_Constants'!$D$15)</x:f>
        <x:v>0.0008824071566675639</x:v>
      </x:c>
      <x:c r="M21" s="369" t="n">
        <x:f>IF($A21="","",ABS(2*A21/(90-A21)-'02_Constants'!$D$16)/'02_Constants'!$D$16)</x:f>
        <x:v>0.0028625941947738242</x:v>
      </x:c>
      <x:c r="N21" s="369" t="n">
        <x:f>IF($A21="","",ABS(2*A21/(90-A21)-1-'02_Constants'!$D$17)/'02_Constants'!$D$17)</x:f>
        <x:v>0.004528557337351546</x:v>
      </x:c>
      <x:c r="O21" s="369" t="n">
        <x:f>IF(A21="","",AVERAGE(C21:N21))</x:f>
        <x:v>0.0011346552945023132</x:v>
      </x:c>
      <x:c r="P21" s="369" t="n">
        <x:f>IF(A21="","",SUMPRODUCT(C21:N21,'03_12_Errors'!$P$4:$AA$4)/SUM('03_12_Errors'!$P$4:$AA$4))</x:f>
        <x:v>0.0013825661478060142</x:v>
      </x:c>
      <x:c r="Q21" s="369" t="n">
        <x:f>IF(A21="","",SQRT(SUMSQ(C21:N21)/12))</x:f>
        <x:v>0.0017497506781203956</x:v>
      </x:c>
      <x:c r="R21" s="369" t="n">
        <x:f>IF(A21="","",MAX(C21:N21))</x:f>
        <x:v>0.004528557337351546</x:v>
      </x:c>
      <x:c r="S21" s="390" t="n">
        <x:f>IF(A21="","",COUNTIF(C21:N21,"&lt;="&amp;'00_Start'!$B$7))</x:f>
        <x:v>9</x:v>
      </x:c>
      <x:c r="T21" s="365" t="n">
        <x:f>IF(A21="","",0.5*TAN(RADIANS(A21)))</x:f>
        <x:v>0.6351015043687886</x:v>
      </x:c>
      <x:c r="U21" s="365" t="n">
        <x:f>IF(A21="","",0.5)</x:f>
        <x:v>0.5</x:v>
      </x:c>
      <x:c r="V21" s="365" t="n">
        <x:f>IF(A21="","",SQRT(2))</x:f>
        <x:v>1.4142135623730951</x:v>
      </x:c>
      <x:c r="W21" s="365" t="n">
        <x:f>IF(A21="","",SQRT(T21^2+U21^2))</x:f>
        <x:v>0.8083031119892453</x:v>
      </x:c>
      <x:c r="X21" s="365" t="n">
        <x:f>IF(A21="","",SQRT(T21^2+2*U21^2))</x:f>
        <x:v>0.9504493257672912</x:v>
      </x:c>
      <x:c r="Y21" s="127"/>
      <x:c r="Z21" s="127"/>
      <x:c r="AA21" s="127"/>
      <x:c r="AB21" s="127"/>
      <x:c r="AC21" s="127"/>
      <x:c r="AD21" s="127"/>
      <x:c r="AE21" s="127"/>
      <x:c r="AF21" s="127"/>
      <x:c r="AG21" s="127"/>
      <x:c r="AH21" s="127"/>
      <x:c r="AI21" s="127"/>
      <x:c r="AJ21" s="127"/>
      <x:c r="AK21" s="127"/>
      <x:c r="AL21" s="127"/>
    </x:row>
    <x:row r="22">
      <x:c r="A22" s="367" t="n">
        <x:f>IF(A21="","",IF(A21+'00_Start'!$B$12&lt;='00_Start'!$B$11,A21+'00_Start'!$B$12,""))</x:f>
        <x:v>51.78800000000004</x:v>
      </x:c>
      <x:c r="B22" s="367" t="n">
        <x:f>IF(A22="","",2/TAN(RADIANS(A22)))</x:f>
        <x:v>1.5745231877982666</x:v>
      </x:c>
      <x:c r="C22" s="369" t="n">
        <x:f>IF($A22="","",ABS(2/T22-'02_Constants'!$D$6)/'02_Constants'!$D$6)</x:f>
        <x:v>0.0023725934036110587</x:v>
      </x:c>
      <x:c r="D22" s="369" t="n">
        <x:f>IF($A22="","",ABS(2/(T22+2*V22)-'02_Constants'!$D$7)/'02_Constants'!$D$7)</x:f>
        <x:v>0.0003953748967728802</x:v>
      </x:c>
      <x:c r="E22" s="369" t="n">
        <x:f>IF($A22="","",ABS((T22+2*V22)/2-'02_Constants'!$D$8)/'02_Constants'!$D$8)</x:f>
        <x:v>0.0001621149670725368</x:v>
      </x:c>
      <x:c r="F22" s="369" t="n">
        <x:f>IF($A22="","",ABS((T22+2*V22)/V22-'02_Constants'!$D$9)/'02_Constants'!$D$9)</x:f>
        <x:v>0.0001621149670726499</x:v>
      </x:c>
      <x:c r="G22" s="369" t="n">
        <x:f>IF($A22="","",ABS(V22-'02_Constants'!$D$10)/'02_Constants'!$D$10)</x:f>
        <x:v>0</x:v>
      </x:c>
      <x:c r="H22" s="369" t="n">
        <x:f>IF($A22="","",ABS((W22+1)/W22-'02_Constants'!$D$11)/'02_Constants'!$D$11)</x:f>
        <x:v>0.00048208062678763933</x:v>
      </x:c>
      <x:c r="I22" s="369" t="n">
        <x:f>IF($A22="","",ABS((U22+2*V22)/(W22+1)-'02_Constants'!$D$12)/'02_Constants'!$D$12)</x:f>
        <x:v>0.0007284060341710064</x:v>
      </x:c>
      <x:c r="J22" s="369" t="n">
        <x:f>IF($A22="","",ABS(X22/U22-'02_Constants'!$D$13)/'02_Constants'!$D$13)</x:f>
        <x:v>0.00065540830761565</x:v>
      </x:c>
      <x:c r="K22" s="369" t="n">
        <x:f>IF($A22="","",ABS(W22/(W22+U22)-'02_Constants'!$D$14)/'02_Constants'!$D$14)</x:f>
        <x:v>0.00033299859544901885</x:v>
      </x:c>
      <x:c r="L22" s="369" t="n">
        <x:f>IF($A22="","",ABS(W22/U22-'02_Constants'!$D$15)/'02_Constants'!$D$15)</x:f>
        <x:v>0.0008713321646673192</x:v>
      </x:c>
      <x:c r="M22" s="369" t="n">
        <x:f>IF($A22="","",ABS(2*A22/(90-A22)-'02_Constants'!$D$16)/'02_Constants'!$D$16)</x:f>
        <x:v>0.0028399194291485047</x:v>
      </x:c>
      <x:c r="N22" s="369" t="n">
        <x:f>IF($A22="","",ABS(2*A22/(90-A22)-1-'02_Constants'!$D$17)/'02_Constants'!$D$17)</x:f>
        <x:v>0.00449268638629857</x:v>
      </x:c>
      <x:c r="O22" s="369" t="n">
        <x:f>IF(A22="","",AVERAGE(C22:N22))</x:f>
        <x:v>0.0011245858148889029</x:v>
      </x:c>
      <x:c r="P22" s="369" t="n">
        <x:f>IF(A22="","",SUMPRODUCT(C22:N22,'03_12_Errors'!$P$4:$AA$4)/SUM('03_12_Errors'!$P$4:$AA$4))</x:f>
        <x:v>0.001370786009843656</x:v>
      </x:c>
      <x:c r="Q22" s="369" t="n">
        <x:f>IF(A22="","",SQRT(SUMSQ(C22:N22)/12))</x:f>
        <x:v>0.0017356579338354086</x:v>
      </x:c>
      <x:c r="R22" s="369" t="n">
        <x:f>IF(A22="","",MAX(C22:N22))</x:f>
        <x:v>0.00449268638629857</x:v>
      </x:c>
      <x:c r="S22" s="390" t="n">
        <x:f>IF(A22="","",COUNTIF(C22:N22,"&lt;="&amp;'00_Start'!$B$7))</x:f>
        <x:v>9</x:v>
      </x:c>
      <x:c r="T22" s="365" t="n">
        <x:f>IF(A22="","",0.5*TAN(RADIANS(A22)))</x:f>
        <x:v>0.6351129076722899</x:v>
      </x:c>
      <x:c r="U22" s="365" t="n">
        <x:f>IF(A22="","",0.5)</x:f>
        <x:v>0.5</x:v>
      </x:c>
      <x:c r="V22" s="365" t="n">
        <x:f>IF(A22="","",SQRT(2))</x:f>
        <x:v>1.4142135623730951</x:v>
      </x:c>
      <x:c r="W22" s="365" t="n">
        <x:f>IF(A22="","",SQRT(T22^2+U22^2))</x:f>
        <x:v>0.8083120718459861</x:v>
      </x:c>
      <x:c r="X22" s="365" t="n">
        <x:f>IF(A22="","",SQRT(T22^2+2*U22^2))</x:f>
        <x:v>0.9504569456277073</x:v>
      </x:c>
      <x:c r="Y22" s="127"/>
      <x:c r="Z22" s="127"/>
      <x:c r="AA22" s="127"/>
      <x:c r="AB22" s="127"/>
      <x:c r="AC22" s="127"/>
      <x:c r="AD22" s="127"/>
      <x:c r="AE22" s="127"/>
      <x:c r="AF22" s="127"/>
      <x:c r="AG22" s="127"/>
      <x:c r="AH22" s="127"/>
      <x:c r="AI22" s="127"/>
      <x:c r="AJ22" s="127"/>
      <x:c r="AK22" s="127"/>
      <x:c r="AL22" s="127"/>
    </x:row>
    <x:row r="23">
      <x:c r="A23" s="367" t="n">
        <x:f>IF(A22="","",IF(A22+'00_Start'!$B$12&lt;='00_Start'!$B$11,A22+'00_Start'!$B$12,""))</x:f>
        <x:v>51.78850000000004</x:v>
      </x:c>
      <x:c r="B23" s="367" t="n">
        <x:f>IF(A23="","",2/TAN(RADIANS(A23)))</x:f>
        <x:v>1.574494917484066</x:v>
      </x:c>
      <x:c r="C23" s="369" t="n">
        <x:f>IF($A23="","",ABS(2/T23-'02_Constants'!$D$6)/'02_Constants'!$D$6)</x:f>
        <x:v>0.0023545959626198377</x:v>
      </x:c>
      <x:c r="D23" s="369" t="n">
        <x:f>IF($A23="","",ABS(2/(T23+2*V23)-'02_Constants'!$D$7)/'02_Constants'!$D$7)</x:f>
        <x:v>0.00039208114895326456</x:v>
      </x:c>
      <x:c r="E23" s="369" t="n">
        <x:f>IF($A23="","",ABS((T23+2*V23)/2-'02_Constants'!$D$8)/'02_Constants'!$D$8)</x:f>
        <x:v>0.00015882304391965821</x:v>
      </x:c>
      <x:c r="F23" s="369" t="n">
        <x:f>IF($A23="","",ABS((T23+2*V23)/V23-'02_Constants'!$D$9)/'02_Constants'!$D$9)</x:f>
        <x:v>0.00015882304391968147</x:v>
      </x:c>
      <x:c r="G23" s="369" t="n">
        <x:f>IF($A23="","",ABS(V23-'02_Constants'!$D$10)/'02_Constants'!$D$10)</x:f>
        <x:v>0</x:v>
      </x:c>
      <x:c r="H23" s="369" t="n">
        <x:f>IF($A23="","",ABS((W23+1)/W23-'02_Constants'!$D$11)/'02_Constants'!$D$11)</x:f>
        <x:v>0.0004759477289314595</x:v>
      </x:c>
      <x:c r="I23" s="369" t="n">
        <x:f>IF($A23="","",ABS((U23+2*V23)/(W23+1)-'02_Constants'!$D$12)/'02_Constants'!$D$12)</x:f>
        <x:v>0.000723447487883254</x:v>
      </x:c>
      <x:c r="J23" s="369" t="n">
        <x:f>IF($A23="","",ABS(X23/U23-'02_Constants'!$D$13)/'02_Constants'!$D$13)</x:f>
        <x:v>0.0006473962552772498</x:v>
      </x:c>
      <x:c r="K23" s="369" t="n">
        <x:f>IF($A23="","",ABS(W23/(W23+U23)-'02_Constants'!$D$14)/'02_Constants'!$D$14)</x:f>
        <x:v>0.0003287636711597236</x:v>
      </x:c>
      <x:c r="L23" s="369" t="n">
        <x:f>IF($A23="","",ABS(W23/U23-'02_Constants'!$D$15)/'02_Constants'!$D$15)</x:f>
        <x:v>0.000860256851047161</x:v>
      </x:c>
      <x:c r="M23" s="369" t="n">
        <x:f>IF($A23="","",ABS(2*A23/(90-A23)-'02_Constants'!$D$16)/'02_Constants'!$D$16)</x:f>
        <x:v>0.00281724407012141</x:v>
      </x:c>
      <x:c r="N23" s="369" t="n">
        <x:f>IF($A23="","",ABS(2*A23/(90-A23)-1-'02_Constants'!$D$17)/'02_Constants'!$D$17)</x:f>
        <x:v>0.004456814496497806</x:v>
      </x:c>
      <x:c r="O23" s="369" t="n">
        <x:f>IF(A23="","",AVERAGE(C23:N23))</x:f>
        <x:v>0.0011145161466942087</x:v>
      </x:c>
      <x:c r="P23" s="369" t="n">
        <x:f>IF(A23="","",SUMPRODUCT(C23:N23,'03_12_Errors'!$P$4:$AA$4)/SUM('03_12_Errors'!$P$4:$AA$4))</x:f>
        <x:v>0.0013590056919556</x:v>
      </x:c>
      <x:c r="Q23" s="369" t="n">
        <x:f>IF(A23="","",SQRT(SUMSQ(C23:N23)/12))</x:f>
        <x:v>0.0017215668909681236</x:v>
      </x:c>
      <x:c r="R23" s="369" t="n">
        <x:f>IF(A23="","",MAX(C23:N23))</x:f>
        <x:v>0.004456814496497806</x:v>
      </x:c>
      <x:c r="S23" s="390" t="n">
        <x:f>IF(A23="","",COUNTIF(C23:N23,"&lt;="&amp;'00_Start'!$B$7))</x:f>
        <x:v>9</x:v>
      </x:c>
      <x:c r="T23" s="365" t="n">
        <x:f>IF(A23="","",0.5*TAN(RADIANS(A23)))</x:f>
        <x:v>0.6351243112286008</x:v>
      </x:c>
      <x:c r="U23" s="365" t="n">
        <x:f>IF(A23="","",0.5)</x:f>
        <x:v>0.5</x:v>
      </x:c>
      <x:c r="V23" s="365" t="n">
        <x:f>IF(A23="","",SQRT(2))</x:f>
        <x:v>1.4142135623730951</x:v>
      </x:c>
      <x:c r="W23" s="365" t="n">
        <x:f>IF(A23="","",SQRT(T23^2+U23^2))</x:f>
        <x:v>0.8083210319629228</x:v>
      </x:c>
      <x:c r="X23" s="365" t="n">
        <x:f>IF(A23="","",SQRT(T23^2+2*U23^2))</x:f>
        <x:v>0.9504645657327813</x:v>
      </x:c>
      <x:c r="Y23" s="127"/>
      <x:c r="Z23" s="127"/>
      <x:c r="AA23" s="127"/>
      <x:c r="AB23" s="127"/>
      <x:c r="AC23" s="127"/>
      <x:c r="AD23" s="127"/>
      <x:c r="AE23" s="127"/>
      <x:c r="AF23" s="127"/>
      <x:c r="AG23" s="127"/>
      <x:c r="AH23" s="127"/>
      <x:c r="AI23" s="127"/>
      <x:c r="AJ23" s="127"/>
      <x:c r="AK23" s="127"/>
      <x:c r="AL23" s="127"/>
    </x:row>
    <x:row r="24">
      <x:c r="A24" s="367" t="n">
        <x:f>IF(A23="","",IF(A23+'00_Start'!$B$12&lt;='00_Start'!$B$11,A23+'00_Start'!$B$12,""))</x:f>
        <x:v>51.789000000000044</x:v>
      </x:c>
      <x:c r="B24" s="367" t="n">
        <x:f>IF(A24="","",2/TAN(RADIANS(A24)))</x:f>
        <x:v>1.5744666475582985</x:v>
      </x:c>
      <x:c r="C24" s="369" t="n">
        <x:f>IF($A24="","",ABS(2/T24-'02_Constants'!$D$6)/'02_Constants'!$D$6)</x:f>
        <x:v>0.0023365987689129264</x:v>
      </x:c>
      <x:c r="D24" s="369" t="n">
        <x:f>IF($A24="","",ABS(2/(T24+2*V24)-'02_Constants'!$D$7)/'02_Constants'!$D$7)</x:f>
        <x:v>0.00038878734979992197</x:v>
      </x:c>
      <x:c r="E24" s="369" t="n">
        <x:f>IF($A24="","",ABS((T24+2*V24)/2-'02_Constants'!$D$8)/'02_Constants'!$D$8)</x:f>
        <x:v>0.00015553104778393578</x:v>
      </x:c>
      <x:c r="F24" s="369" t="n">
        <x:f>IF($A24="","",ABS((T24+2*V24)/V24-'02_Constants'!$D$9)/'02_Constants'!$D$9)</x:f>
        <x:v>0.00015553104778403065</x:v>
      </x:c>
      <x:c r="G24" s="369" t="n">
        <x:f>IF($A24="","",ABS(V24-'02_Constants'!$D$10)/'02_Constants'!$D$10)</x:f>
        <x:v>0</x:v>
      </x:c>
      <x:c r="H24" s="369" t="n">
        <x:f>IF($A24="","",ABS((W24+1)/W24-'02_Constants'!$D$11)/'02_Constants'!$D$11)</x:f>
        <x:v>0.00046981478894171007</x:v>
      </x:c>
      <x:c r="I24" s="369" t="n">
        <x:f>IF($A24="","",ABS((U24+2*V24)/(W24+1)-'02_Constants'!$D$12)/'02_Constants'!$D$12)</x:f>
        <x:v>0.000718488846737479</x:v>
      </x:c>
      <x:c r="J24" s="369" t="n">
        <x:f>IF($A24="","",ABS(X24/U24-'02_Constants'!$D$13)/'02_Constants'!$D$13)</x:f>
        <x:v>0.0006393839456860543</x:v>
      </x:c>
      <x:c r="K24" s="369" t="n">
        <x:f>IF($A24="","",ABS(W24/(W24+U24)-'02_Constants'!$D$14)/'02_Constants'!$D$14)</x:f>
        <x:v>0.00032452868189469623</x:v>
      </x:c>
      <x:c r="L24" s="369" t="n">
        <x:f>IF($A24="","",ABS(W24/U24-'02_Constants'!$D$15)/'02_Constants'!$D$15)</x:f>
        <x:v>0.000849181215794601</x:v>
      </x:c>
      <x:c r="M24" s="369" t="n">
        <x:f>IF($A24="","",ABS(2*A24/(90-A24)-'02_Constants'!$D$16)/'02_Constants'!$D$16)</x:f>
        <x:v>0.0027945681176695047</x:v>
      </x:c>
      <x:c r="N24" s="369" t="n">
        <x:f>IF($A24="","",ABS(2*A24/(90-A24)-1-'02_Constants'!$D$17)/'02_Constants'!$D$17)</x:f>
        <x:v>0.004420941667912816</x:v>
      </x:c>
      <x:c r="O24" s="369" t="n">
        <x:f>IF(A24="","",AVERAGE(C24:N24))</x:f>
        <x:v>0.0011044462899098063</x:v>
      </x:c>
      <x:c r="P24" s="369" t="n">
        <x:f>IF(A24="","",SUMPRODUCT(C24:N24,'03_12_Errors'!$P$4:$AA$4)/SUM('03_12_Errors'!$P$4:$AA$4))</x:f>
        <x:v>0.0013472251941323197</x:v>
      </x:c>
      <x:c r="Q24" s="369" t="n">
        <x:f>IF(A24="","",SQRT(SUMSQ(C24:N24)/12))</x:f>
        <x:v>0.0017074775989430607</x:v>
      </x:c>
      <x:c r="R24" s="369" t="n">
        <x:f>IF(A24="","",MAX(C24:N24))</x:f>
        <x:v>0.004420941667912816</x:v>
      </x:c>
      <x:c r="S24" s="390" t="n">
        <x:f>IF(A24="","",COUNTIF(C24:N24,"&lt;="&amp;'00_Start'!$B$7))</x:f>
        <x:v>9</x:v>
      </x:c>
      <x:c r="T24" s="365" t="n">
        <x:f>IF(A24="","",0.5*TAN(RADIANS(A24)))</x:f>
        <x:v>0.6351357150377316</x:v>
      </x:c>
      <x:c r="U24" s="365" t="n">
        <x:f>IF(A24="","",0.5)</x:f>
        <x:v>0.5</x:v>
      </x:c>
      <x:c r="V24" s="365" t="n">
        <x:f>IF(A24="","",SQRT(2))</x:f>
        <x:v>1.4142135623730951</x:v>
      </x:c>
      <x:c r="W24" s="365" t="n">
        <x:f>IF(A24="","",SQRT(T24^2+U24^2))</x:f>
        <x:v>0.8083299923400656</x:v>
      </x:c>
      <x:c r="X24" s="365" t="n">
        <x:f>IF(A24="","",SQRT(T24^2+2*U24^2))</x:f>
        <x:v>0.9504721860825233</x:v>
      </x:c>
      <x:c r="Y24" s="127"/>
      <x:c r="Z24" s="127"/>
      <x:c r="AA24" s="127"/>
      <x:c r="AB24" s="127"/>
      <x:c r="AC24" s="127"/>
      <x:c r="AD24" s="127"/>
      <x:c r="AE24" s="127"/>
      <x:c r="AF24" s="127"/>
      <x:c r="AG24" s="127"/>
      <x:c r="AH24" s="127"/>
      <x:c r="AI24" s="127"/>
      <x:c r="AJ24" s="127"/>
      <x:c r="AK24" s="127"/>
      <x:c r="AL24" s="127"/>
    </x:row>
    <x:row r="25">
      <x:c r="A25" s="367" t="n">
        <x:f>IF(A24="","",IF(A24+'00_Start'!$B$12&lt;='00_Start'!$B$11,A24+'00_Start'!$B$12,""))</x:f>
        <x:v>51.78950000000005</x:v>
      </x:c>
      <x:c r="B25" s="367" t="n">
        <x:f>IF(A25="","",2/TAN(RADIANS(A25)))</x:f>
        <x:v>1.5744383780209514</x:v>
      </x:c>
      <x:c r="C25" s="369" t="n">
        <x:f>IF($A25="","",ABS(2/T25-'02_Constants'!$D$6)/'02_Constants'!$D$6)</x:f>
        <x:v>0.0023186018224821262</x:v>
      </x:c>
      <x:c r="D25" s="369" t="n">
        <x:f>IF($A25="","",ABS(2/(T25+2*V25)-'02_Constants'!$D$7)/'02_Constants'!$D$7)</x:f>
        <x:v>0.0003854934993111215</x:v>
      </x:c>
      <x:c r="E25" s="369" t="n">
        <x:f>IF($A25="","",ABS((T25+2*V25)/2-'02_Constants'!$D$8)/'02_Constants'!$D$8)</x:f>
        <x:v>0.00015223897866242097</x:v>
      </x:c>
      <x:c r="F25" s="369" t="n">
        <x:f>IF($A25="","",ABS((T25+2*V25)/V25-'02_Constants'!$D$9)/'02_Constants'!$D$9)</x:f>
        <x:v>0.0001522389786624341</x:v>
      </x:c>
      <x:c r="G25" s="369" t="n">
        <x:f>IF($A25="","",ABS(V25-'02_Constants'!$D$10)/'02_Constants'!$D$10)</x:f>
        <x:v>0</x:v>
      </x:c>
      <x:c r="H25" s="369" t="n">
        <x:f>IF($A25="","",ABS((W25+1)/W25-'02_Constants'!$D$11)/'02_Constants'!$D$11)</x:f>
        <x:v>0.00046368180681898675</x:v>
      </x:c>
      <x:c r="I25" s="369" t="n">
        <x:f>IF($A25="","",ABS((U25+2*V25)/(W25+1)-'02_Constants'!$D$12)/'02_Constants'!$D$12)</x:f>
        <x:v>0.0007135301107316295</x:v>
      </x:c>
      <x:c r="J25" s="369" t="n">
        <x:f>IF($A25="","",ABS(X25/U25-'02_Constants'!$D$13)/'02_Constants'!$D$13)</x:f>
        <x:v>0.0006313713788317911</x:v>
      </x:c>
      <x:c r="K25" s="369" t="n">
        <x:f>IF($A25="","",ABS(W25/(W25+U25)-'02_Constants'!$D$14)/'02_Constants'!$D$14)</x:f>
        <x:v>0.0003202936276526793</x:v>
      </x:c>
      <x:c r="L25" s="369" t="n">
        <x:f>IF($A25="","",ABS(W25/U25-'02_Constants'!$D$15)/'02_Constants'!$D$15)</x:f>
        <x:v>0.0008381052588971513</x:v>
      </x:c>
      <x:c r="M25" s="369" t="n">
        <x:f>IF($A25="","",ABS(2*A25/(90-A25)-'02_Constants'!$D$16)/'02_Constants'!$D$16)</x:f>
        <x:v>0.002771891571769427</x:v>
      </x:c>
      <x:c r="N25" s="369" t="n">
        <x:f>IF($A25="","",ABS(2*A25/(90-A25)-1-'02_Constants'!$D$17)/'02_Constants'!$D$17)</x:f>
        <x:v>0.004385067900506639</x:v>
      </x:c>
      <x:c r="O25" s="369" t="n">
        <x:f>IF(A25="","",AVERAGE(C25:N25))</x:f>
        <x:v>0.0010943762445272006</x:v>
      </x:c>
      <x:c r="P25" s="369" t="n">
        <x:f>IF(A25="","",SUMPRODUCT(C25:N25,'03_12_Errors'!$P$4:$AA$4)/SUM('03_12_Errors'!$P$4:$AA$4))</x:f>
        <x:v>0.0013354445163641963</x:v>
      </x:c>
      <x:c r="Q25" s="369" t="n">
        <x:f>IF(A25="","",SQRT(SUMSQ(C25:N25)/12))</x:f>
        <x:v>0.001693390108824764</x:v>
      </x:c>
      <x:c r="R25" s="369" t="n">
        <x:f>IF(A25="","",MAX(C25:N25))</x:f>
        <x:v>0.004385067900506639</x:v>
      </x:c>
      <x:c r="S25" s="390" t="n">
        <x:f>IF(A25="","",COUNTIF(C25:N25,"&lt;="&amp;'00_Start'!$B$7))</x:f>
        <x:v>9</x:v>
      </x:c>
      <x:c r="T25" s="365" t="n">
        <x:f>IF(A25="","",0.5*TAN(RADIANS(A25)))</x:f>
        <x:v>0.6351471190996926</x:v>
      </x:c>
      <x:c r="U25" s="365" t="n">
        <x:f>IF(A25="","",0.5)</x:f>
        <x:v>0.5</x:v>
      </x:c>
      <x:c r="V25" s="365" t="n">
        <x:f>IF(A25="","",SQRT(2))</x:f>
        <x:v>1.4142135623730951</x:v>
      </x:c>
      <x:c r="W25" s="365" t="n">
        <x:f>IF(A25="","",SQRT(T25^2+U25^2))</x:f>
        <x:v>0.8083389529774246</x:v>
      </x:c>
      <x:c r="X25" s="365" t="n">
        <x:f>IF(A25="","",SQRT(T25^2+2*U25^2))</x:f>
        <x:v>0.9504798066769431</x:v>
      </x:c>
      <x:c r="Y25" s="127"/>
      <x:c r="Z25" s="127"/>
      <x:c r="AA25" s="127"/>
      <x:c r="AB25" s="127"/>
      <x:c r="AC25" s="127"/>
      <x:c r="AD25" s="127"/>
      <x:c r="AE25" s="127"/>
      <x:c r="AF25" s="127"/>
      <x:c r="AG25" s="127"/>
      <x:c r="AH25" s="127"/>
      <x:c r="AI25" s="127"/>
      <x:c r="AJ25" s="127"/>
      <x:c r="AK25" s="127"/>
      <x:c r="AL25" s="127"/>
    </x:row>
    <x:row r="26">
      <x:c r="A26" s="367" t="n">
        <x:f>IF(A25="","",IF(A25+'00_Start'!$B$12&lt;='00_Start'!$B$11,A25+'00_Start'!$B$12,""))</x:f>
        <x:v>51.79000000000005</x:v>
      </x:c>
      <x:c r="B26" s="367" t="n">
        <x:f>IF(A26="","",2/TAN(RADIANS(A26)))</x:f>
        <x:v>1.574410108872013</x:v>
      </x:c>
      <x:c r="C26" s="369" t="n">
        <x:f>IF($A26="","",ABS(2/T26-'02_Constants'!$D$6)/'02_Constants'!$D$6)</x:f>
        <x:v>0.0023006051233199452</x:v>
      </x:c>
      <x:c r="D26" s="369" t="n">
        <x:f>IF($A26="","",ABS(2/(T26+2*V26)-'02_Constants'!$D$7)/'02_Constants'!$D$7)</x:f>
        <x:v>0.00038219959748532435</x:v>
      </x:c>
      <x:c r="E26" s="369" t="n">
        <x:f>IF($A26="","",ABS((T26+2*V26)/2-'02_Constants'!$D$8)/'02_Constants'!$D$8)</x:f>
        <x:v>0.00014894683655229345</x:v>
      </x:c>
      <x:c r="F26" s="369" t="n">
        <x:f>IF($A26="","",ABS((T26+2*V26)/V26-'02_Constants'!$D$9)/'02_Constants'!$D$9)</x:f>
        <x:v>0.0001489468365523536</x:v>
      </x:c>
      <x:c r="G26" s="369" t="n">
        <x:f>IF($A26="","",ABS(V26-'02_Constants'!$D$10)/'02_Constants'!$D$10)</x:f>
        <x:v>0</x:v>
      </x:c>
      <x:c r="H26" s="369" t="n">
        <x:f>IF($A26="","",ABS((W26+1)/W26-'02_Constants'!$D$11)/'02_Constants'!$D$11)</x:f>
        <x:v>0.000457548782564084</x:v>
      </x:c>
      <x:c r="I26" s="369" t="n">
        <x:f>IF($A26="","",ABS((U26+2*V26)/(W26+1)-'02_Constants'!$D$12)/'02_Constants'!$D$12)</x:f>
        <x:v>0.0007085712798637737</x:v>
      </x:c>
      <x:c r="J26" s="369" t="n">
        <x:f>IF($A26="","",ABS(X26/U26-'02_Constants'!$D$13)/'02_Constants'!$D$13)</x:f>
        <x:v>0.000623358554703954</x:v>
      </x:c>
      <x:c r="K26" s="369" t="n">
        <x:f>IF($A26="","",ABS(W26/(W26+U26)-'02_Constants'!$D$14)/'02_Constants'!$D$14)</x:f>
        <x:v>0.00031605850843349314</x:v>
      </x:c>
      <x:c r="L26" s="369" t="n">
        <x:f>IF($A26="","",ABS(W26/U26-'02_Constants'!$D$15)/'02_Constants'!$D$15)</x:f>
        <x:v>0.0008270289803428728</x:v>
      </x:c>
      <x:c r="M26" s="369" t="n">
        <x:f>IF($A26="","",ABS(2*A26/(90-A26)-'02_Constants'!$D$16)/'02_Constants'!$D$16)</x:f>
        <x:v>0.002749214432397814</x:v>
      </x:c>
      <x:c r="N26" s="369" t="n">
        <x:f>IF($A26="","",ABS(2*A26/(90-A26)-1-'02_Constants'!$D$17)/'02_Constants'!$D$17)</x:f>
        <x:v>0.004349193194242319</x:v>
      </x:c>
      <x:c r="O26" s="369" t="n">
        <x:f>IF(A26="","",AVERAGE(C26:N26))</x:f>
        <x:v>0.0010843060105381857</x:v>
      </x:c>
      <x:c r="P26" s="369" t="n">
        <x:f>IF(A26="","",SUMPRODUCT(C26:N26,'03_12_Errors'!$P$4:$AA$4)/SUM('03_12_Errors'!$P$4:$AA$4))</x:f>
        <x:v>0.0013236636586418688</x:v>
      </x:c>
      <x:c r="Q26" s="369" t="n">
        <x:f>IF(A26="","",SQRT(SUMSQ(C26:N26)/12))</x:f>
        <x:v>0.0016793044733863878</x:v>
      </x:c>
      <x:c r="R26" s="369" t="n">
        <x:f>IF(A26="","",MAX(C26:N26))</x:f>
        <x:v>0.004349193194242319</x:v>
      </x:c>
      <x:c r="S26" s="390" t="n">
        <x:f>IF(A26="","",COUNTIF(C26:N26,"&lt;="&amp;'00_Start'!$B$7))</x:f>
        <x:v>9</x:v>
      </x:c>
      <x:c r="T26" s="365" t="n">
        <x:f>IF(A26="","",0.5*TAN(RADIANS(A26)))</x:f>
        <x:v>0.6351585234144936</x:v>
      </x:c>
      <x:c r="U26" s="365" t="n">
        <x:f>IF(A26="","",0.5)</x:f>
        <x:v>0.5</x:v>
      </x:c>
      <x:c r="V26" s="365" t="n">
        <x:f>IF(A26="","",SQRT(2))</x:f>
        <x:v>1.4142135623730951</x:v>
      </x:c>
      <x:c r="W26" s="365" t="n">
        <x:f>IF(A26="","",SQRT(T26^2+U26^2))</x:f>
        <x:v>0.8083479138750095</x:v>
      </x:c>
      <x:c r="X26" s="365" t="n">
        <x:f>IF(A26="","",SQRT(T26^2+2*U26^2))</x:f>
        <x:v>0.9504874275160508</x:v>
      </x:c>
      <x:c r="Y26" s="127"/>
      <x:c r="Z26" s="127"/>
      <x:c r="AA26" s="127"/>
      <x:c r="AB26" s="127"/>
      <x:c r="AC26" s="127"/>
      <x:c r="AD26" s="127"/>
      <x:c r="AE26" s="127"/>
      <x:c r="AF26" s="127"/>
      <x:c r="AG26" s="127"/>
      <x:c r="AH26" s="127"/>
      <x:c r="AI26" s="127"/>
      <x:c r="AJ26" s="127"/>
      <x:c r="AK26" s="127"/>
      <x:c r="AL26" s="127"/>
    </x:row>
    <x:row r="27">
      <x:c r="A27" s="367" t="n">
        <x:f>IF(A26="","",IF(A26+'00_Start'!$B$12&lt;='00_Start'!$B$11,A26+'00_Start'!$B$12,""))</x:f>
        <x:v>51.79050000000005</x:v>
      </x:c>
      <x:c r="B27" s="367" t="n">
        <x:f>IF(A27="","",2/TAN(RADIANS(A27)))</x:f>
        <x:v>1.5743818401114713</x:v>
      </x:c>
      <x:c r="C27" s="369" t="n">
        <x:f>IF($A27="","",ABS(2/T27-'02_Constants'!$D$6)/'02_Constants'!$D$6)</x:f>
        <x:v>0.00228260867141875</x:v>
      </x:c>
      <x:c r="D27" s="369" t="n">
        <x:f>IF($A27="","",ABS(2/(T27+2*V27)-'02_Constants'!$D$7)/'02_Constants'!$D$7)</x:f>
        <x:v>0.00037890564432079953</x:v>
      </x:c>
      <x:c r="E27" s="369" t="n">
        <x:f>IF($A27="","",ABS((T27+2*V27)/2-'02_Constants'!$D$8)/'02_Constants'!$D$8)</x:f>
        <x:v>0.0001456546214506047</x:v>
      </x:c>
      <x:c r="F27" s="369" t="n">
        <x:f>IF($A27="","",ABS((T27+2*V27)/V27-'02_Constants'!$D$9)/'02_Constants'!$D$9)</x:f>
        <x:v>0.0001456546214507071</x:v>
      </x:c>
      <x:c r="G27" s="369" t="n">
        <x:f>IF($A27="","",ABS(V27-'02_Constants'!$D$10)/'02_Constants'!$D$10)</x:f>
        <x:v>0</x:v>
      </x:c>
      <x:c r="H27" s="369" t="n">
        <x:f>IF($A27="","",ABS((W27+1)/W27-'02_Constants'!$D$11)/'02_Constants'!$D$11)</x:f>
        <x:v>0.0004514157161772005</x:v>
      </x:c>
      <x:c r="I27" s="369" t="n">
        <x:f>IF($A27="","",ABS((U27+2*V27)/(W27+1)-'02_Constants'!$D$12)/'02_Constants'!$D$12)</x:f>
        <x:v>0.0007036123541318593</x:v>
      </x:c>
      <x:c r="J27" s="369" t="n">
        <x:f>IF($A27="","",ABS(X27/U27-'02_Constants'!$D$13)/'02_Constants'!$D$13)</x:f>
        <x:v>0.0006153454732920371</x:v>
      </x:c>
      <x:c r="K27" s="369" t="n">
        <x:f>IF($A27="","",ABS(W27/(W27+U27)-'02_Constants'!$D$14)/'02_Constants'!$D$14)</x:f>
        <x:v>0.00031182332423588036</x:v>
      </x:c>
      <x:c r="L27" s="369" t="n">
        <x:f>IF($A27="","",ABS(W27/U27-'02_Constants'!$D$15)/'02_Constants'!$D$15)</x:f>
        <x:v>0.000815952380119003</x:v>
      </x:c>
      <x:c r="M27" s="369" t="n">
        <x:f>IF($A27="","",ABS(2*A27/(90-A27)-'02_Constants'!$D$16)/'02_Constants'!$D$16)</x:f>
        <x:v>0.0027265366995313047</x:v>
      </x:c>
      <x:c r="N27" s="369" t="n">
        <x:f>IF($A27="","",ABS(2*A27/(90-A27)-1-'02_Constants'!$D$17)/'02_Constants'!$D$17)</x:f>
        <x:v>0.004313317549082896</x:v>
      </x:c>
      <x:c r="O27" s="369" t="n">
        <x:f>IF(A27="","",AVERAGE(C27:N27))</x:f>
        <x:v>0.0010742355879342536</x:v>
      </x:c>
      <x:c r="P27" s="369" t="n">
        <x:f>IF(A27="","",SUMPRODUCT(C27:N27,'03_12_Errors'!$P$4:$AA$4)/SUM('03_12_Errors'!$P$4:$AA$4))</x:f>
        <x:v>0.0013118826209557463</x:v>
      </x:c>
      <x:c r="Q27" s="369" t="n">
        <x:f>IF(A27="","",SQRT(SUMSQ(C27:N27)/12))</x:f>
        <x:v>0.001665220747181155</x:v>
      </x:c>
      <x:c r="R27" s="369" t="n">
        <x:f>IF(A27="","",MAX(C27:N27))</x:f>
        <x:v>0.004313317549082896</x:v>
      </x:c>
      <x:c r="S27" s="390" t="n">
        <x:f>IF(A27="","",COUNTIF(C27:N27,"&lt;="&amp;'00_Start'!$B$7))</x:f>
        <x:v>9</x:v>
      </x:c>
      <x:c r="T27" s="365" t="n">
        <x:f>IF(A27="","",0.5*TAN(RADIANS(A27)))</x:f>
        <x:v>0.6351699279821449</x:v>
      </x:c>
      <x:c r="U27" s="365" t="n">
        <x:f>IF(A27="","",0.5)</x:f>
        <x:v>0.5</x:v>
      </x:c>
      <x:c r="V27" s="365" t="n">
        <x:f>IF(A27="","",SQRT(2))</x:f>
        <x:v>1.4142135623730951</x:v>
      </x:c>
      <x:c r="W27" s="365" t="n">
        <x:f>IF(A27="","",SQRT(T27^2+U27^2))</x:f>
        <x:v>0.8083568750328305</x:v>
      </x:c>
      <x:c r="X27" s="365" t="n">
        <x:f>IF(A27="","",SQRT(T27^2+2*U27^2))</x:f>
        <x:v>0.9504950485998562</x:v>
      </x:c>
      <x:c r="Y27" s="127"/>
      <x:c r="Z27" s="127"/>
      <x:c r="AA27" s="127"/>
      <x:c r="AB27" s="127"/>
      <x:c r="AC27" s="127"/>
      <x:c r="AD27" s="127"/>
      <x:c r="AE27" s="127"/>
      <x:c r="AF27" s="127"/>
      <x:c r="AG27" s="127"/>
      <x:c r="AH27" s="127"/>
      <x:c r="AI27" s="127"/>
      <x:c r="AJ27" s="127"/>
      <x:c r="AK27" s="127"/>
      <x:c r="AL27" s="127"/>
    </x:row>
    <x:row r="28">
      <x:c r="A28" s="367" t="n">
        <x:f>IF(A27="","",IF(A27+'00_Start'!$B$12&lt;='00_Start'!$B$11,A27+'00_Start'!$B$12,""))</x:f>
        <x:v>51.791000000000054</x:v>
      </x:c>
      <x:c r="B28" s="367" t="n">
        <x:f>IF(A28="","",2/TAN(RADIANS(A28)))</x:f>
        <x:v>1.5743535717393131</x:v>
      </x:c>
      <x:c r="C28" s="369" t="n">
        <x:f>IF($A28="","",ABS(2/T28-'02_Constants'!$D$6)/'02_Constants'!$D$6)</x:f>
        <x:v>0.0022646124667702</x:v>
      </x:c>
      <x:c r="D28" s="369" t="n">
        <x:f>IF($A28="","",ABS(2/(T28+2*V28)-'02_Constants'!$D$7)/'02_Constants'!$D$7)</x:f>
        <x:v>0.00037561163981581587</x:v>
      </x:c>
      <x:c r="E28" s="369" t="n">
        <x:f>IF($A28="","",ABS((T28+2*V28)/2-'02_Constants'!$D$8)/'02_Constants'!$D$8)</x:f>
        <x:v>0.00014236233335427796</x:v>
      </x:c>
      <x:c r="F28" s="369" t="n">
        <x:f>IF($A28="","",ABS((T28+2*V28)/V28-'02_Constants'!$D$9)/'02_Constants'!$D$9)</x:f>
        <x:v>0.00014236233335423123</x:v>
      </x:c>
      <x:c r="G28" s="369" t="n">
        <x:f>IF($A28="","",ABS(V28-'02_Constants'!$D$10)/'02_Constants'!$D$10)</x:f>
        <x:v>0</x:v>
      </x:c>
      <x:c r="H28" s="369" t="n">
        <x:f>IF($A28="","",ABS((W28+1)/W28-'02_Constants'!$D$11)/'02_Constants'!$D$11)</x:f>
        <x:v>0.0004452826076587333</x:v>
      </x:c>
      <x:c r="I28" s="369" t="n">
        <x:f>IF($A28="","",ABS((U28+2*V28)/(W28+1)-'02_Constants'!$D$12)/'02_Constants'!$D$12)</x:f>
        <x:v>0.000698653333533834</x:v>
      </x:c>
      <x:c r="J28" s="369" t="n">
        <x:f>IF($A28="","",ABS(X28/U28-'02_Constants'!$D$13)/'02_Constants'!$D$13)</x:f>
        <x:v>0.000607332134585301</x:v>
      </x:c>
      <x:c r="K28" s="369" t="n">
        <x:f>IF($A28="","",ABS(W28/(W28+U28)-'02_Constants'!$D$14)/'02_Constants'!$D$14)</x:f>
        <x:v>0.000307588075058763</x:v>
      </x:c>
      <x:c r="L28" s="369" t="n">
        <x:f>IF($A28="","",ABS(W28/U28-'02_Constants'!$D$15)/'02_Constants'!$D$15)</x:f>
        <x:v>0.0008048754582131911</x:v>
      </x:c>
      <x:c r="M28" s="369" t="n">
        <x:f>IF($A28="","",ABS(2*A28/(90-A28)-'02_Constants'!$D$16)/'02_Constants'!$D$16)</x:f>
        <x:v>0.0027038583731468628</x:v>
      </x:c>
      <x:c r="N28" s="369" t="n">
        <x:f>IF($A28="","",ABS(2*A28/(90-A28)-1-'02_Constants'!$D$17)/'02_Constants'!$D$17)</x:f>
        <x:v>0.004277440964991929</x:v>
      </x:c>
      <x:c r="O28" s="369" t="n">
        <x:f>IF(A28="","",AVERAGE(C28:N28))</x:f>
        <x:v>0.0010641649767069283</x:v>
      </x:c>
      <x:c r="P28" s="369" t="n">
        <x:f>IF(A28="","",SUMPRODUCT(C28:N28,'03_12_Errors'!$P$4:$AA$4)/SUM('03_12_Errors'!$P$4:$AA$4))</x:f>
        <x:v>0.0013001014032961783</x:v>
      </x:c>
      <x:c r="Q28" s="369" t="n">
        <x:f>IF(A28="","",SQRT(SUMSQ(C28:N28)/12))</x:f>
        <x:v>0.0016511389866178548</x:v>
      </x:c>
      <x:c r="R28" s="369" t="n">
        <x:f>IF(A28="","",MAX(C28:N28))</x:f>
        <x:v>0.004277440964991929</x:v>
      </x:c>
      <x:c r="S28" s="390" t="n">
        <x:f>IF(A28="","",COUNTIF(C28:N28,"&lt;="&amp;'00_Start'!$B$7))</x:f>
        <x:v>9</x:v>
      </x:c>
      <x:c r="T28" s="365" t="n">
        <x:f>IF(A28="","",0.5*TAN(RADIANS(A28)))</x:f>
        <x:v>0.6351813328026568</x:v>
      </x:c>
      <x:c r="U28" s="365" t="n">
        <x:f>IF(A28="","",0.5)</x:f>
        <x:v>0.5</x:v>
      </x:c>
      <x:c r="V28" s="365" t="n">
        <x:f>IF(A28="","",SQRT(2))</x:f>
        <x:v>1.4142135623730951</x:v>
      </x:c>
      <x:c r="W28" s="365" t="n">
        <x:f>IF(A28="","",SQRT(T28^2+U28^2))</x:f>
        <x:v>0.8083658364508977</x:v>
      </x:c>
      <x:c r="X28" s="365" t="n">
        <x:f>IF(A28="","",SQRT(T28^2+2*U28^2))</x:f>
        <x:v>0.9505026699283697</x:v>
      </x:c>
      <x:c r="Y28" s="127"/>
      <x:c r="Z28" s="127"/>
      <x:c r="AA28" s="127"/>
      <x:c r="AB28" s="127"/>
      <x:c r="AC28" s="127"/>
      <x:c r="AD28" s="127"/>
      <x:c r="AE28" s="127"/>
      <x:c r="AF28" s="127"/>
      <x:c r="AG28" s="127"/>
      <x:c r="AH28" s="127"/>
      <x:c r="AI28" s="127"/>
      <x:c r="AJ28" s="127"/>
      <x:c r="AK28" s="127"/>
      <x:c r="AL28" s="127"/>
    </x:row>
    <x:row r="29">
      <x:c r="A29" s="367" t="n">
        <x:f>IF(A28="","",IF(A28+'00_Start'!$B$12&lt;='00_Start'!$B$11,A28+'00_Start'!$B$12,""))</x:f>
        <x:v>51.791500000000056</x:v>
      </x:c>
      <x:c r="B29" s="367" t="n">
        <x:f>IF(A29="","",2/TAN(RADIANS(A29)))</x:f>
        <x:v>1.5743253037555267</x:v>
      </x:c>
      <x:c r="C29" s="369" t="n">
        <x:f>IF($A29="","",ABS(2/T29-'02_Constants'!$D$6)/'02_Constants'!$D$6)</x:f>
        <x:v>0.002246616509366804</x:v>
      </x:c>
      <x:c r="D29" s="369" t="n">
        <x:f>IF($A29="","",ABS(2/(T29+2*V29)-'02_Constants'!$D$7)/'02_Constants'!$D$7)</x:f>
        <x:v>0.00037231758396883465</x:v>
      </x:c>
      <x:c r="E29" s="369" t="n">
        <x:f>IF($A29="","",ABS((T29+2*V29)/2-'02_Constants'!$D$8)/'02_Constants'!$D$8)</x:f>
        <x:v>0.00013906997226062105</x:v>
      </x:c>
      <x:c r="F29" s="369" t="n">
        <x:f>IF($A29="","",ABS((T29+2*V29)/V29-'02_Constants'!$D$9)/'02_Constants'!$D$9)</x:f>
        <x:v>0.00013906997226056908</x:v>
      </x:c>
      <x:c r="G29" s="369" t="n">
        <x:f>IF($A29="","",ABS(V29-'02_Constants'!$D$10)/'02_Constants'!$D$10)</x:f>
        <x:v>0</x:v>
      </x:c>
      <x:c r="H29" s="369" t="n">
        <x:f>IF($A29="","",ABS((W29+1)/W29-'02_Constants'!$D$11)/'02_Constants'!$D$11)</x:f>
        <x:v>0.0004391494570094769</x:v>
      </x:c>
      <x:c r="I29" s="369" t="n">
        <x:f>IF($A29="","",ABS((U29+2*V29)/(W29+1)-'02_Constants'!$D$12)/'02_Constants'!$D$12)</x:f>
        <x:v>0.0006936942180678871</x:v>
      </x:c>
      <x:c r="J29" s="369" t="n">
        <x:f>IF($A29="","",ABS(X29/U29-'02_Constants'!$D$13)/'02_Constants'!$D$13)</x:f>
        <x:v>0.0005993185385734735</x:v>
      </x:c>
      <x:c r="K29" s="369" t="n">
        <x:f>IF($A29="","",ABS(W29/(W29+U29)-'02_Constants'!$D$14)/'02_Constants'!$D$14)</x:f>
        <x:v>0.0003033527609017819</x:v>
      </x:c>
      <x:c r="L29" s="369" t="n">
        <x:f>IF($A29="","",ABS(W29/U29-'02_Constants'!$D$15)/'02_Constants'!$D$15)</x:f>
        <x:v>0.0007937982146132234</x:v>
      </x:c>
      <x:c r="M29" s="369" t="n">
        <x:f>IF($A29="","",ABS(2*A29/(90-A29)-'02_Constants'!$D$16)/'02_Constants'!$D$16)</x:f>
        <x:v>0.0026811794532209635</x:v>
      </x:c>
      <x:c r="N29" s="369" t="n">
        <x:f>IF($A29="","",ABS(2*A29/(90-A29)-1-'02_Constants'!$D$17)/'02_Constants'!$D$17)</x:f>
        <x:v>0.004241563441932201</x:v>
      </x:c>
      <x:c r="O29" s="369" t="n">
        <x:f>IF(A29="","",AVERAGE(C29:N29))</x:f>
        <x:v>0.0010540941768479863</x:v>
      </x:c>
      <x:c r="P29" s="369" t="n">
        <x:f>IF(A29="","",SUMPRODUCT(C29:N29,'03_12_Errors'!$P$4:$AA$4)/SUM('03_12_Errors'!$P$4:$AA$4))</x:f>
        <x:v>0.0012883200056538193</x:v>
      </x:c>
      <x:c r="Q29" s="369" t="n">
        <x:f>IF(A29="","",SQRT(SUMSQ(C29:N29)/12))</x:f>
        <x:v>0.00163705925003982</x:v>
      </x:c>
      <x:c r="R29" s="369" t="n">
        <x:f>IF(A29="","",MAX(C29:N29))</x:f>
        <x:v>0.004241563441932201</x:v>
      </x:c>
      <x:c r="S29" s="390" t="n">
        <x:f>IF(A29="","",COUNTIF(C29:N29,"&lt;="&amp;'00_Start'!$B$7))</x:f>
        <x:v>9</x:v>
      </x:c>
      <x:c r="T29" s="365" t="n">
        <x:f>IF(A29="","",0.5*TAN(RADIANS(A29)))</x:f>
        <x:v>0.6351927378760391</x:v>
      </x:c>
      <x:c r="U29" s="365" t="n">
        <x:f>IF(A29="","",0.5)</x:f>
        <x:v>0.5</x:v>
      </x:c>
      <x:c r="V29" s="365" t="n">
        <x:f>IF(A29="","",SQRT(2))</x:f>
        <x:v>1.4142135623730951</x:v>
      </x:c>
      <x:c r="W29" s="365" t="n">
        <x:f>IF(A29="","",SQRT(T29^2+U29^2))</x:f>
        <x:v>0.8083747981292209</x:v>
      </x:c>
      <x:c r="X29" s="365" t="n">
        <x:f>IF(A29="","",SQRT(T29^2+2*U29^2))</x:f>
        <x:v>0.950510291501601</x:v>
      </x:c>
      <x:c r="Y29" s="127"/>
      <x:c r="Z29" s="127"/>
      <x:c r="AA29" s="127"/>
      <x:c r="AB29" s="127"/>
      <x:c r="AC29" s="127"/>
      <x:c r="AD29" s="127"/>
      <x:c r="AE29" s="127"/>
      <x:c r="AF29" s="127"/>
      <x:c r="AG29" s="127"/>
      <x:c r="AH29" s="127"/>
      <x:c r="AI29" s="127"/>
      <x:c r="AJ29" s="127"/>
      <x:c r="AK29" s="127"/>
      <x:c r="AL29" s="127"/>
    </x:row>
    <x:row r="30">
      <x:c r="A30" s="367" t="n">
        <x:f>IF(A29="","",IF(A29+'00_Start'!$B$12&lt;='00_Start'!$B$11,A29+'00_Start'!$B$12,""))</x:f>
        <x:v>51.79200000000006</x:v>
      </x:c>
      <x:c r="B30" s="367" t="n">
        <x:f>IF(A30="","",2/TAN(RADIANS(A30)))</x:f>
        <x:v>1.5742970361600994</x:v>
      </x:c>
      <x:c r="C30" s="369" t="n">
        <x:f>IF($A30="","",ABS(2/T30-'02_Constants'!$D$6)/'02_Constants'!$D$6)</x:f>
        <x:v>0.002228620799200504</x:v>
      </x:c>
      <x:c r="D30" s="369" t="n">
        <x:f>IF($A30="","",ABS(2/(T30+2*V30)-'02_Constants'!$D$7)/'02_Constants'!$D$7)</x:f>
        <x:v>0.0003690234767777402</x:v>
      </x:c>
      <x:c r="E30" s="369" t="n">
        <x:f>IF($A30="","",ABS((T30+2*V30)/2-'02_Constants'!$D$8)/'02_Constants'!$D$8)</x:f>
        <x:v>0.00013577753816642908</x:v>
      </x:c>
      <x:c r="F30" s="369" t="n">
        <x:f>IF($A30="","",ABS((T30+2*V30)/V30-'02_Constants'!$D$9)/'02_Constants'!$D$9)</x:f>
        <x:v>0.00013577753816645732</x:v>
      </x:c>
      <x:c r="G30" s="369" t="n">
        <x:f>IF($A30="","",ABS(V30-'02_Constants'!$D$10)/'02_Constants'!$D$10)</x:f>
        <x:v>0</x:v>
      </x:c>
      <x:c r="H30" s="369" t="n">
        <x:f>IF($A30="","",ABS((W30+1)/W30-'02_Constants'!$D$11)/'02_Constants'!$D$11)</x:f>
        <x:v>0.00043301626422943135</x:v>
      </x:c>
      <x:c r="I30" s="369" t="n">
        <x:f>IF($A30="","",ABS((U30+2*V30)/(W30+1)-'02_Constants'!$D$12)/'02_Constants'!$D$12)</x:f>
        <x:v>0.0006887350077319661</x:v>
      </x:c>
      <x:c r="J30" s="369" t="n">
        <x:f>IF($A30="","",ABS(X30/U30-'02_Constants'!$D$13)/'02_Constants'!$D$13)</x:f>
        <x:v>0.0005913046852459315</x:v>
      </x:c>
      <x:c r="K30" s="369" t="n">
        <x:f>IF($A30="","",ABS(W30/(W30+U30)-'02_Constants'!$D$14)/'02_Constants'!$D$14)</x:f>
        <x:v>0.0002991173817634999</x:v>
      </x:c>
      <x:c r="L30" s="369" t="n">
        <x:f>IF($A30="","",ABS(W30/U30-'02_Constants'!$D$15)/'02_Constants'!$D$15)</x:f>
        <x:v>0.000782720649306612</x:v>
      </x:c>
      <x:c r="M30" s="369" t="n">
        <x:f>IF($A30="","",ABS(2*A30/(90-A30)-'02_Constants'!$D$16)/'02_Constants'!$D$16)</x:f>
        <x:v>0.0026584999397302445</x:v>
      </x:c>
      <x:c r="N30" s="369" t="n">
        <x:f>IF($A30="","",ABS(2*A30/(90-A30)-1-'02_Constants'!$D$17)/'02_Constants'!$D$17)</x:f>
        <x:v>0.004205684979866755</x:v>
      </x:c>
      <x:c r="O30" s="369" t="n">
        <x:f>IF(A30="","",AVERAGE(C30:N30))</x:f>
        <x:v>0.0010440231883487975</x:v>
      </x:c>
      <x:c r="P30" s="369" t="n">
        <x:f>IF(A30="","",SUMPRODUCT(C30:N30,'03_12_Errors'!$P$4:$AA$4)/SUM('03_12_Errors'!$P$4:$AA$4))</x:f>
        <x:v>0.0012765384280189378</x:v>
      </x:c>
      <x:c r="Q30" s="369" t="n">
        <x:f>IF(A30="","",SQRT(SUMSQ(C30:N30)/12))</x:f>
        <x:v>0.0016229815978081414</x:v>
      </x:c>
      <x:c r="R30" s="369" t="n">
        <x:f>IF(A30="","",MAX(C30:N30))</x:f>
        <x:v>0.004205684979866755</x:v>
      </x:c>
      <x:c r="S30" s="390" t="n">
        <x:f>IF(A30="","",COUNTIF(C30:N30,"&lt;="&amp;'00_Start'!$B$7))</x:f>
        <x:v>9</x:v>
      </x:c>
      <x:c r="T30" s="365" t="n">
        <x:f>IF(A30="","",0.5*TAN(RADIANS(A30)))</x:f>
        <x:v>0.6352041432023023</x:v>
      </x:c>
      <x:c r="U30" s="365" t="n">
        <x:f>IF(A30="","",0.5)</x:f>
        <x:v>0.5</x:v>
      </x:c>
      <x:c r="V30" s="365" t="n">
        <x:f>IF(A30="","",SQRT(2))</x:f>
        <x:v>1.4142135623730951</x:v>
      </x:c>
      <x:c r="W30" s="365" t="n">
        <x:f>IF(A30="","",SQRT(T30^2+U30^2))</x:f>
        <x:v>0.8083837600678102</x:v>
      </x:c>
      <x:c r="X30" s="365" t="n">
        <x:f>IF(A30="","",SQRT(T30^2+2*U30^2))</x:f>
        <x:v>0.9505179133195603</x:v>
      </x:c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</x:row>
    <x:row r="31">
      <x:c r="A31" s="367" t="n">
        <x:f>IF(A30="","",IF(A30+'00_Start'!$B$12&lt;='00_Start'!$B$11,A30+'00_Start'!$B$12,""))</x:f>
        <x:v>51.79250000000006</x:v>
      </x:c>
      <x:c r="B31" s="367" t="n">
        <x:f>IF(A31="","",2/TAN(RADIANS(A31)))</x:f>
        <x:v>1.574268768953019</x:v>
      </x:c>
      <x:c r="C31" s="369" t="n">
        <x:f>IF($A31="","",ABS(2/T31-'02_Constants'!$D$6)/'02_Constants'!$D$6)</x:f>
        <x:v>0.002210625336263526</x:v>
      </x:c>
      <x:c r="D31" s="369" t="n">
        <x:f>IF($A31="","",ABS(2/(T31+2*V31)-'02_Constants'!$D$7)/'02_Constants'!$D$7)</x:f>
        <x:v>0.0003657293182409937</x:v>
      </x:c>
      <x:c r="E31" s="369" t="n">
        <x:f>IF($A31="","",ABS((T31+2*V31)/2-'02_Constants'!$D$8)/'02_Constants'!$D$8)</x:f>
        <x:v>0.00013248503106888166</x:v>
      </x:c>
      <x:c r="F31" s="369" t="n">
        <x:f>IF($A31="","",ABS((T31+2*V31)/V31-'02_Constants'!$D$9)/'02_Constants'!$D$9)</x:f>
        <x:v>0.00013248503106899512</x:v>
      </x:c>
      <x:c r="G31" s="369" t="n">
        <x:f>IF($A31="","",ABS(V31-'02_Constants'!$D$10)/'02_Constants'!$D$10)</x:f>
        <x:v>0</x:v>
      </x:c>
      <x:c r="H31" s="369" t="n">
        <x:f>IF($A31="","",ABS((W31+1)/W31-'02_Constants'!$D$11)/'02_Constants'!$D$11)</x:f>
        <x:v>0.00042688302931939096</x:v>
      </x:c>
      <x:c r="I31" s="369" t="n">
        <x:f>IF($A31="","",ABS((U31+2*V31)/(W31+1)-'02_Constants'!$D$12)/'02_Constants'!$D$12)</x:f>
        <x:v>0.0006837757025238982</x:v>
      </x:c>
      <x:c r="J31" s="369" t="n">
        <x:f>IF($A31="","",ABS(X31/U31-'02_Constants'!$D$13)/'02_Constants'!$D$13)</x:f>
        <x:v>0.0005832905745921693</x:v>
      </x:c>
      <x:c r="K31" s="369" t="n">
        <x:f>IF($A31="","",ABS(W31/(W31+U31)-'02_Constants'!$D$14)/'02_Constants'!$D$14)</x:f>
        <x:v>0.0002948819376431984</x:v>
      </x:c>
      <x:c r="L31" s="369" t="n">
        <x:f>IF($A31="","",ABS(W31/U31-'02_Constants'!$D$15)/'02_Constants'!$D$15)</x:f>
        <x:v>0.0007716427622807317</x:v>
      </x:c>
      <x:c r="M31" s="369" t="n">
        <x:f>IF($A31="","",ABS(2*A31/(90-A31)-'02_Constants'!$D$16)/'02_Constants'!$D$16)</x:f>
        <x:v>0.00263581983265167</x:v>
      </x:c>
      <x:c r="N31" s="369" t="n">
        <x:f>IF($A31="","",ABS(2*A31/(90-A31)-1-'02_Constants'!$D$17)/'02_Constants'!$D$17)</x:f>
        <x:v>0.004169805578759149</x:v>
      </x:c>
      <x:c r="O31" s="369" t="n">
        <x:f>IF(A31="","",AVERAGE(C31:N31))</x:f>
        <x:v>0.0010339520112010504</x:v>
      </x:c>
      <x:c r="P31" s="369" t="n">
        <x:f>IF(A31="","",SUMPRODUCT(C31:N31,'03_12_Errors'!$P$4:$AA$4)/SUM('03_12_Errors'!$P$4:$AA$4))</x:f>
        <x:v>0.001264756670382067</x:v>
      </x:c>
      <x:c r="Q31" s="369" t="n">
        <x:f>IF(A31="","",SQRT(SUMSQ(C31:N31)/12))</x:f>
        <x:v>0.001608906092389489</x:v>
      </x:c>
      <x:c r="R31" s="369" t="n">
        <x:f>IF(A31="","",MAX(C31:N31))</x:f>
        <x:v>0.004169805578759149</x:v>
      </x:c>
      <x:c r="S31" s="390" t="n">
        <x:f>IF(A31="","",COUNTIF(C31:N31,"&lt;="&amp;'00_Start'!$B$7))</x:f>
        <x:v>9</x:v>
      </x:c>
      <x:c r="T31" s="365" t="n">
        <x:f>IF(A31="","",0.5*TAN(RADIANS(A31)))</x:f>
        <x:v>0.6352155487814566</x:v>
      </x:c>
      <x:c r="U31" s="365" t="n">
        <x:f>IF(A31="","",0.5)</x:f>
        <x:v>0.5</x:v>
      </x:c>
      <x:c r="V31" s="365" t="n">
        <x:f>IF(A31="","",SQRT(2))</x:f>
        <x:v>1.4142135623730951</x:v>
      </x:c>
      <x:c r="W31" s="365" t="n">
        <x:f>IF(A31="","",SQRT(T31^2+U31^2))</x:f>
        <x:v>0.8083927222666759</x:v>
      </x:c>
      <x:c r="X31" s="365" t="n">
        <x:f>IF(A31="","",SQRT(T31^2+2*U31^2))</x:f>
        <x:v>0.9505255353822574</x:v>
      </x:c>
      <x:c r="Y31" s="127"/>
      <x:c r="Z31" s="127"/>
      <x:c r="AA31" s="127"/>
      <x:c r="AB31" s="127"/>
      <x:c r="AC31" s="127"/>
      <x:c r="AD31" s="127"/>
      <x:c r="AE31" s="127"/>
      <x:c r="AF31" s="127"/>
      <x:c r="AG31" s="127"/>
      <x:c r="AH31" s="127"/>
      <x:c r="AI31" s="127"/>
      <x:c r="AJ31" s="127"/>
      <x:c r="AK31" s="127"/>
      <x:c r="AL31" s="127"/>
    </x:row>
    <x:row r="32">
      <x:c r="A32" s="367" t="n">
        <x:f>IF(A31="","",IF(A31+'00_Start'!$B$12&lt;='00_Start'!$B$11,A31+'00_Start'!$B$12,""))</x:f>
        <x:v>51.79300000000006</x:v>
      </x:c>
      <x:c r="B32" s="367" t="n">
        <x:f>IF(A32="","",2/TAN(RADIANS(A32)))</x:f>
        <x:v>1.5742405021342736</x:v>
      </x:c>
      <x:c r="C32" s="369" t="n">
        <x:f>IF($A32="","",ABS(2/T32-'02_Constants'!$D$6)/'02_Constants'!$D$6)</x:f>
        <x:v>0.002192630120548236</x:v>
      </x:c>
      <x:c r="D32" s="369" t="n">
        <x:f>IF($A32="","",ABS(2/(T32+2*V32)-'02_Constants'!$D$7)/'02_Constants'!$D$7)</x:f>
        <x:v>0.00036243510835724883</x:v>
      </x:c>
      <x:c r="E32" s="369" t="n">
        <x:f>IF($A32="","",ABS((T32+2*V32)/2-'02_Constants'!$D$8)/'02_Constants'!$D$8)</x:f>
        <x:v>0.00012919245096528669</x:v>
      </x:c>
      <x:c r="F32" s="369" t="n">
        <x:f>IF($A32="","",ABS((T32+2*V32)/V32-'02_Constants'!$D$9)/'02_Constants'!$D$9)</x:f>
        <x:v>0.00012919245096528172</x:v>
      </x:c>
      <x:c r="G32" s="369" t="n">
        <x:f>IF($A32="","",ABS(V32-'02_Constants'!$D$10)/'02_Constants'!$D$10)</x:f>
        <x:v>0</x:v>
      </x:c>
      <x:c r="H32" s="369" t="n">
        <x:f>IF($A32="","",ABS((W32+1)/W32-'02_Constants'!$D$11)/'02_Constants'!$D$11)</x:f>
        <x:v>0.00042074975227995154</x:v>
      </x:c>
      <x:c r="I32" s="369" t="n">
        <x:f>IF($A32="","",ABS((U32+2*V32)/(W32+1)-'02_Constants'!$D$12)/'02_Constants'!$D$12)</x:f>
        <x:v>0.0006788163024418724</x:v>
      </x:c>
      <x:c r="J32" s="369" t="n">
        <x:f>IF($A32="","",ABS(X32/U32-'02_Constants'!$D$13)/'02_Constants'!$D$13)</x:f>
        <x:v>0.0005752762066017975</x:v>
      </x:c>
      <x:c r="K32" s="369" t="n">
        <x:f>IF($A32="","",ABS(W32/(W32+U32)-'02_Constants'!$D$14)/'02_Constants'!$D$14)</x:f>
        <x:v>0.0002906464285403386</x:v>
      </x:c>
      <x:c r="L32" s="369" t="n">
        <x:f>IF($A32="","",ABS(W32/U32-'02_Constants'!$D$15)/'02_Constants'!$D$15)</x:f>
        <x:v>0.0007605645535236433</x:v>
      </x:c>
      <x:c r="M32" s="369" t="n">
        <x:f>IF($A32="","",ABS(2*A32/(90-A32)-'02_Constants'!$D$16)/'02_Constants'!$D$16)</x:f>
        <x:v>0.0026131391319617154</x:v>
      </x:c>
      <x:c r="N32" s="369" t="n">
        <x:f>IF($A32="","",ABS(2*A32/(90-A32)-1-'02_Constants'!$D$17)/'02_Constants'!$D$17)</x:f>
        <x:v>0.004133925238572165</x:v>
      </x:c>
      <x:c r="O32" s="369" t="n">
        <x:f>IF(A32="","",AVERAGE(C32:N32))</x:f>
        <x:v>0.0010238806453964616</x:v>
      </x:c>
      <x:c r="P32" s="369" t="n">
        <x:f>IF(A32="","",SUMPRODUCT(C32:N32,'03_12_Errors'!$P$4:$AA$4)/SUM('03_12_Errors'!$P$4:$AA$4))</x:f>
        <x:v>0.0012529747327337942</x:v>
      </x:c>
      <x:c r="Q32" s="369" t="n">
        <x:f>IF(A32="","",SQRT(SUMSQ(C32:N32)/12))</x:f>
        <x:v>0.0015948327984478031</x:v>
      </x:c>
      <x:c r="R32" s="369" t="n">
        <x:f>IF(A32="","",MAX(C32:N32))</x:f>
        <x:v>0.004133925238572165</x:v>
      </x:c>
      <x:c r="S32" s="390" t="n">
        <x:f>IF(A32="","",COUNTIF(C32:N32,"&lt;="&amp;'00_Start'!$B$7))</x:f>
        <x:v>9</x:v>
      </x:c>
      <x:c r="T32" s="365" t="n">
        <x:f>IF(A32="","",0.5*TAN(RADIANS(A32)))</x:f>
        <x:v>0.6352269546135116</x:v>
      </x:c>
      <x:c r="U32" s="365" t="n">
        <x:f>IF(A32="","",0.5)</x:f>
        <x:v>0.5</x:v>
      </x:c>
      <x:c r="V32" s="365" t="n">
        <x:f>IF(A32="","",SQRT(2))</x:f>
        <x:v>1.4142135623730951</x:v>
      </x:c>
      <x:c r="W32" s="365" t="n">
        <x:f>IF(A32="","",SQRT(T32^2+U32^2))</x:f>
        <x:v>0.8084016847258276</x:v>
      </x:c>
      <x:c r="X32" s="365" t="n">
        <x:f>IF(A32="","",SQRT(T32^2+2*U32^2))</x:f>
        <x:v>0.9505331576897023</x:v>
      </x:c>
      <x:c r="Y32" s="127"/>
      <x:c r="Z32" s="127"/>
      <x:c r="AA32" s="127"/>
      <x:c r="AB32" s="127"/>
      <x:c r="AC32" s="127"/>
      <x:c r="AD32" s="127"/>
      <x:c r="AE32" s="127"/>
      <x:c r="AF32" s="127"/>
      <x:c r="AG32" s="127"/>
      <x:c r="AH32" s="127"/>
      <x:c r="AI32" s="127"/>
      <x:c r="AJ32" s="127"/>
      <x:c r="AK32" s="127"/>
      <x:c r="AL32" s="127"/>
    </x:row>
    <x:row r="33">
      <x:c r="A33" s="367" t="n">
        <x:f>IF(A32="","",IF(A32+'00_Start'!$B$12&lt;='00_Start'!$B$11,A32+'00_Start'!$B$12,""))</x:f>
        <x:v>51.793500000000066</x:v>
      </x:c>
      <x:c r="B33" s="367" t="n">
        <x:f>IF(A33="","",2/TAN(RADIANS(A33)))</x:f>
        <x:v>1.574212235703851</x:v>
      </x:c>
      <x:c r="C33" s="369" t="n">
        <x:f>IF($A33="","",ABS(2/T33-'02_Constants'!$D$6)/'02_Constants'!$D$6)</x:f>
        <x:v>0.0021746351520470007</x:v>
      </x:c>
      <x:c r="D33" s="369" t="n">
        <x:f>IF($A33="","",ABS(2/(T33+2*V33)-'02_Constants'!$D$7)/'02_Constants'!$D$7)</x:f>
        <x:v>0.0003591408471245821</x:v>
      </x:c>
      <x:c r="E33" s="369" t="n">
        <x:f>IF($A33="","",ABS((T33+2*V33)/2-'02_Constants'!$D$8)/'02_Constants'!$D$8)</x:f>
        <x:v>0.00012589979785243918</x:v>
      </x:c>
      <x:c r="F33" s="369" t="n">
        <x:f>IF($A33="","",ABS((T33+2*V33)/V33-'02_Constants'!$D$9)/'02_Constants'!$D$9)</x:f>
        <x:v>0.00012589979785241633</x:v>
      </x:c>
      <x:c r="G33" s="369" t="n">
        <x:f>IF($A33="","",ABS(V33-'02_Constants'!$D$10)/'02_Constants'!$D$10)</x:f>
        <x:v>0</x:v>
      </x:c>
      <x:c r="H33" s="369" t="n">
        <x:f>IF($A33="","",ABS((W33+1)/W33-'02_Constants'!$D$11)/'02_Constants'!$D$11)</x:f>
        <x:v>0.0004146164331115104</x:v>
      </x:c>
      <x:c r="I33" s="369" t="n">
        <x:f>IF($A33="","",ABS((U33+2*V33)/(W33+1)-'02_Constants'!$D$12)/'02_Constants'!$D$12)</x:f>
        <x:v>0.0006738568074839571</x:v>
      </x:c>
      <x:c r="J33" s="369" t="n">
        <x:f>IF($A33="","",ABS(X33/U33-'02_Constants'!$D$13)/'02_Constants'!$D$13)</x:f>
        <x:v>0.0005672615812643102</x:v>
      </x:c>
      <x:c r="K33" s="369" t="n">
        <x:f>IF($A33="","",ABS(W33/(W33+U33)-'02_Constants'!$D$14)/'02_Constants'!$D$14)</x:f>
        <x:v>0.0002864108544542019</x:v>
      </x:c>
      <x:c r="L33" s="369" t="n">
        <x:f>IF($A33="","",ABS(W33/U33-'02_Constants'!$D$15)/'02_Constants'!$D$15)</x:f>
        <x:v>0.000749486023022996</x:v>
      </x:c>
      <x:c r="M33" s="369" t="n">
        <x:f>IF($A33="","",ABS(2*A33/(90-A33)-'02_Constants'!$D$16)/'02_Constants'!$D$16)</x:f>
        <x:v>0.0025904578376373445</x:v>
      </x:c>
      <x:c r="N33" s="369" t="n">
        <x:f>IF($A33="","",ABS(2*A33/(90-A33)-1-'02_Constants'!$D$17)/'02_Constants'!$D$17)</x:f>
        <x:v>0.004098043959269363</x:v>
      </x:c>
      <x:c r="O33" s="369" t="n">
        <x:f>IF(A33="","",AVERAGE(C33:N33))</x:f>
        <x:v>0.0010138090909266766</x:v>
      </x:c>
      <x:c r="P33" s="369" t="n">
        <x:f>IF(A33="","",SUMPRODUCT(C33:N33,'03_12_Errors'!$P$4:$AA$4)/SUM('03_12_Errors'!$P$4:$AA$4))</x:f>
        <x:v>0.0012411926150646675</x:v>
      </x:c>
      <x:c r="Q33" s="369" t="n">
        <x:f>IF(A33="","",SQRT(SUMSQ(C33:N33)/12))</x:f>
        <x:v>0.0015807617829415967</x:v>
      </x:c>
      <x:c r="R33" s="369" t="n">
        <x:f>IF(A33="","",MAX(C33:N33))</x:f>
        <x:v>0.004098043959269363</x:v>
      </x:c>
      <x:c r="S33" s="390" t="n">
        <x:f>IF(A33="","",COUNTIF(C33:N33,"&lt;="&amp;'00_Start'!$B$7))</x:f>
        <x:v>9</x:v>
      </x:c>
      <x:c r="T33" s="365" t="n">
        <x:f>IF(A33="","",0.5*TAN(RADIANS(A33)))</x:f>
        <x:v>0.6352383606984777</x:v>
      </x:c>
      <x:c r="U33" s="365" t="n">
        <x:f>IF(A33="","",0.5)</x:f>
        <x:v>0.5</x:v>
      </x:c>
      <x:c r="V33" s="365" t="n">
        <x:f>IF(A33="","",SQRT(2))</x:f>
        <x:v>1.4142135623730951</x:v>
      </x:c>
      <x:c r="W33" s="365" t="n">
        <x:f>IF(A33="","",SQRT(T33^2+U33^2))</x:f>
        <x:v>0.8084106474452754</x:v>
      </x:c>
      <x:c r="X33" s="365" t="n">
        <x:f>IF(A33="","",SQRT(T33^2+2*U33^2))</x:f>
        <x:v>0.9505407802419049</x:v>
      </x:c>
      <x:c r="Y33" s="127"/>
      <x:c r="Z33" s="127"/>
      <x:c r="AA33" s="127"/>
      <x:c r="AB33" s="127"/>
      <x:c r="AC33" s="127"/>
      <x:c r="AD33" s="127"/>
      <x:c r="AE33" s="127"/>
      <x:c r="AF33" s="127"/>
      <x:c r="AG33" s="127"/>
      <x:c r="AH33" s="127"/>
      <x:c r="AI33" s="127"/>
      <x:c r="AJ33" s="127"/>
      <x:c r="AK33" s="127"/>
      <x:c r="AL33" s="127"/>
    </x:row>
    <x:row r="34">
      <x:c r="A34" s="367" t="n">
        <x:f>IF(A33="","",IF(A33+'00_Start'!$B$12&lt;='00_Start'!$B$11,A33+'00_Start'!$B$12,""))</x:f>
        <x:v>51.79400000000007</x:v>
      </x:c>
      <x:c r="B34" s="367" t="n">
        <x:f>IF(A34="","",2/TAN(RADIANS(A34)))</x:f>
        <x:v>1.574183969661738</x:v>
      </x:c>
      <x:c r="C34" s="369" t="n">
        <x:f>IF($A34="","",ABS(2/T34-'02_Constants'!$D$6)/'02_Constants'!$D$6)</x:f>
        <x:v>0.0021566404307511978</x:v>
      </x:c>
      <x:c r="D34" s="369" t="n">
        <x:f>IF($A34="","",ABS(2/(T34+2*V34)-'02_Constants'!$D$7)/'02_Constants'!$D$7)</x:f>
        <x:v>0.0003558465345410702</x:v>
      </x:c>
      <x:c r="E34" s="369" t="n">
        <x:f>IF($A34="","",ABS((T34+2*V34)/2-'02_Constants'!$D$8)/'02_Constants'!$D$8)</x:f>
        <x:v>0.00012260707172751884</x:v>
      </x:c>
      <x:c r="F34" s="369" t="n">
        <x:f>IF($A34="","",ABS((T34+2*V34)/V34-'02_Constants'!$D$9)/'02_Constants'!$D$9)</x:f>
        <x:v>0.0001226070717274982</x:v>
      </x:c>
      <x:c r="G34" s="369" t="n">
        <x:f>IF($A34="","",ABS(V34-'02_Constants'!$D$10)/'02_Constants'!$D$10)</x:f>
        <x:v>0</x:v>
      </x:c>
      <x:c r="H34" s="369" t="n">
        <x:f>IF($A34="","",ABS((W34+1)/W34-'02_Constants'!$D$11)/'02_Constants'!$D$11)</x:f>
        <x:v>0.00040848307181386883</x:v>
      </x:c>
      <x:c r="I34" s="369" t="n">
        <x:f>IF($A34="","",ABS((U34+2*V34)/(W34+1)-'02_Constants'!$D$12)/'02_Constants'!$D$12)</x:f>
        <x:v>0.0006688972176479794</x:v>
      </x:c>
      <x:c r="J34" s="369" t="n">
        <x:f>IF($A34="","",ABS(X34/U34-'02_Constants'!$D$13)/'02_Constants'!$D$13)</x:f>
        <x:v>0.0005592466985689682</x:v>
      </x:c>
      <x:c r="K34" s="369" t="n">
        <x:f>IF($A34="","",ABS(W34/(W34+U34)-'02_Constants'!$D$14)/'02_Constants'!$D$14)</x:f>
        <x:v>0.00028217521538299195</x:v>
      </x:c>
      <x:c r="L34" s="369" t="n">
        <x:f>IF($A34="","",ABS(W34/U34-'02_Constants'!$D$15)/'02_Constants'!$D$15)</x:f>
        <x:v>0.0007384071707658901</x:v>
      </x:c>
      <x:c r="M34" s="369" t="n">
        <x:f>IF($A34="","",ABS(2*A34/(90-A34)-'02_Constants'!$D$16)/'02_Constants'!$D$16)</x:f>
        <x:v>0.002567775949654869</x:v>
      </x:c>
      <x:c r="N34" s="369" t="n">
        <x:f>IF($A34="","",ABS(2*A34/(90-A34)-1-'02_Constants'!$D$17)/'02_Constants'!$D$17)</x:f>
        <x:v>0.004062161740813267</x:v>
      </x:c>
      <x:c r="O34" s="369" t="n">
        <x:f>IF(A34="","",AVERAGE(C34:N34))</x:f>
        <x:v>0.0010037373477829266</x:v>
      </x:c>
      <x:c r="P34" s="369" t="n">
        <x:f>IF(A34="","",SUMPRODUCT(C34:N34,'03_12_Errors'!$P$4:$AA$4)/SUM('03_12_Errors'!$P$4:$AA$4))</x:f>
        <x:v>0.0012294103173647489</x:v>
      </x:c>
      <x:c r="Q34" s="369" t="n">
        <x:f>IF(A34="","",SQRT(SUMSQ(C34:N34)/12))</x:f>
        <x:v>0.0015666931152253662</x:v>
      </x:c>
      <x:c r="R34" s="369" t="n">
        <x:f>IF(A34="","",MAX(C34:N34))</x:f>
        <x:v>0.004062161740813267</x:v>
      </x:c>
      <x:c r="S34" s="390" t="n">
        <x:f>IF(A34="","",COUNTIF(C34:N34,"&lt;="&amp;'00_Start'!$B$7))</x:f>
        <x:v>9</x:v>
      </x:c>
      <x:c r="T34" s="365" t="n">
        <x:f>IF(A34="","",0.5*TAN(RADIANS(A34)))</x:f>
        <x:v>0.6352497670363655</x:v>
      </x:c>
      <x:c r="U34" s="365" t="n">
        <x:f>IF(A34="","",0.5)</x:f>
        <x:v>0.5</x:v>
      </x:c>
      <x:c r="V34" s="365" t="n">
        <x:f>IF(A34="","",SQRT(2))</x:f>
        <x:v>1.4142135623730951</x:v>
      </x:c>
      <x:c r="W34" s="365" t="n">
        <x:f>IF(A34="","",SQRT(T34^2+U34^2))</x:f>
        <x:v>0.8084196104250295</x:v>
      </x:c>
      <x:c r="X34" s="365" t="n">
        <x:f>IF(A34="","",SQRT(T34^2+2*U34^2))</x:f>
        <x:v>0.9505484030388756</x:v>
      </x:c>
      <x:c r="Y34" s="127"/>
      <x:c r="Z34" s="127"/>
      <x:c r="AA34" s="127"/>
      <x:c r="AB34" s="127"/>
      <x:c r="AC34" s="127"/>
      <x:c r="AD34" s="127"/>
      <x:c r="AE34" s="127"/>
      <x:c r="AF34" s="127"/>
      <x:c r="AG34" s="127"/>
      <x:c r="AH34" s="127"/>
      <x:c r="AI34" s="127"/>
      <x:c r="AJ34" s="127"/>
      <x:c r="AK34" s="127"/>
      <x:c r="AL34" s="127"/>
    </x:row>
    <x:row r="35">
      <x:c r="A35" s="367" t="n">
        <x:f>IF(A34="","",IF(A34+'00_Start'!$B$12&lt;='00_Start'!$B$11,A34+'00_Start'!$B$12,""))</x:f>
        <x:v>51.79450000000007</x:v>
      </x:c>
      <x:c r="B35" s="367" t="n">
        <x:f>IF(A35="","",2/TAN(RADIANS(A35)))</x:f>
        <x:v>1.5741557040079222</x:v>
      </x:c>
      <x:c r="C35" s="369" t="n">
        <x:f>IF($A35="","",ABS(2/T35-'02_Constants'!$D$6)/'02_Constants'!$D$6)</x:f>
        <x:v>0.0021386459566531935</x:v>
      </x:c>
      <x:c r="D35" s="369" t="n">
        <x:f>IF($A35="","",ABS(2/(T35+2*V35)-'02_Constants'!$D$7)/'02_Constants'!$D$7)</x:f>
        <x:v>0.0003525521706053667</x:v>
      </x:c>
      <x:c r="E35" s="369" t="n">
        <x:f>IF($A35="","",ABS((T35+2*V35)/2-'02_Constants'!$D$8)/'02_Constants'!$D$8)</x:f>
        <x:v>0.00011931427258744889</x:v>
      </x:c>
      <x:c r="F35" s="369" t="n">
        <x:f>IF($A35="","",ABS((T35+2*V35)/V35-'02_Constants'!$D$9)/'02_Constants'!$D$9)</x:f>
        <x:v>0.00011931427258744524</x:v>
      </x:c>
      <x:c r="G35" s="369" t="n">
        <x:f>IF($A35="","",ABS(V35-'02_Constants'!$D$10)/'02_Constants'!$D$10)</x:f>
        <x:v>0</x:v>
      </x:c>
      <x:c r="H35" s="369" t="n">
        <x:f>IF($A35="","",ABS((W35+1)/W35-'02_Constants'!$D$11)/'02_Constants'!$D$11)</x:f>
        <x:v>0.0004023496683882185</x:v>
      </x:c>
      <x:c r="I35" s="369" t="n">
        <x:f>IF($A35="","",ABS((U35+2*V35)/(W35+1)-'02_Constants'!$D$12)/'02_Constants'!$D$12)</x:f>
        <x:v>0.0006639375329318868</x:v>
      </x:c>
      <x:c r="J35" s="369" t="n">
        <x:f>IF($A35="","",ABS(X35/U35-'02_Constants'!$D$13)/'02_Constants'!$D$13)</x:f>
        <x:v>0.0005512315585052653</x:v>
      </x:c>
      <x:c r="K35" s="369" t="n">
        <x:f>IF($A35="","",ABS(W35/(W35+U35)-'02_Constants'!$D$14)/'02_Constants'!$D$14)</x:f>
        <x:v>0.0002779395113263494</x:v>
      </x:c>
      <x:c r="L35" s="369" t="n">
        <x:f>IF($A35="","",ABS(W35/U35-'02_Constants'!$D$15)/'02_Constants'!$D$15)</x:f>
        <x:v>0.0007273279967399748</x:v>
      </x:c>
      <x:c r="M35" s="369" t="n">
        <x:f>IF($A35="","",ABS(2*A35/(90-A35)-'02_Constants'!$D$16)/'02_Constants'!$D$16)</x:f>
        <x:v>0.0025450934679912534</x:v>
      </x:c>
      <x:c r="N35" s="369" t="n">
        <x:f>IF($A35="","",ABS(2*A35/(90-A35)-1-'02_Constants'!$D$17)/'02_Constants'!$D$17)</x:f>
        <x:v>0.0040262785831674365</x:v>
      </x:c>
      <x:c r="O35" s="369" t="n">
        <x:f>IF(A35="","",AVERAGE(C35:N35))</x:f>
        <x:v>0.0009936654159569864</x:v>
      </x:c>
      <x:c r="P35" s="369" t="n">
        <x:f>IF(A35="","",SUMPRODUCT(C35:N35,'03_12_Errors'!$P$4:$AA$4)/SUM('03_12_Errors'!$P$4:$AA$4))</x:f>
        <x:v>0.00121762783962466</x:v>
      </x:c>
      <x:c r="Q35" s="369" t="n">
        <x:f>IF(A35="","",SQRT(SUMSQ(C35:N35)/12))</x:f>
        <x:v>0.0015526268671581592</x:v>
      </x:c>
      <x:c r="R35" s="369" t="n">
        <x:f>IF(A35="","",MAX(C35:N35))</x:f>
        <x:v>0.0040262785831674365</x:v>
      </x:c>
      <x:c r="S35" s="390" t="n">
        <x:f>IF(A35="","",COUNTIF(C35:N35,"&lt;="&amp;'00_Start'!$B$7))</x:f>
        <x:v>9</x:v>
      </x:c>
      <x:c r="T35" s="365" t="n">
        <x:f>IF(A35="","",0.5*TAN(RADIANS(A35)))</x:f>
        <x:v>0.6352611736271848</x:v>
      </x:c>
      <x:c r="U35" s="365" t="n">
        <x:f>IF(A35="","",0.5)</x:f>
        <x:v>0.5</x:v>
      </x:c>
      <x:c r="V35" s="365" t="n">
        <x:f>IF(A35="","",SQRT(2))</x:f>
        <x:v>1.4142135623730951</x:v>
      </x:c>
      <x:c r="W35" s="365" t="n">
        <x:f>IF(A35="","",SQRT(T35^2+U35^2))</x:f>
        <x:v>0.8084285736651001</x:v>
      </x:c>
      <x:c r="X35" s="365" t="n">
        <x:f>IF(A35="","",SQRT(T35^2+2*U35^2))</x:f>
        <x:v>0.9505560260806242</x:v>
      </x:c>
      <x:c r="Y35" s="127"/>
      <x:c r="Z35" s="127"/>
      <x:c r="AA35" s="127"/>
      <x:c r="AB35" s="127"/>
      <x:c r="AC35" s="127"/>
      <x:c r="AD35" s="127"/>
      <x:c r="AE35" s="127"/>
      <x:c r="AF35" s="127"/>
      <x:c r="AG35" s="127"/>
      <x:c r="AH35" s="127"/>
      <x:c r="AI35" s="127"/>
      <x:c r="AJ35" s="127"/>
      <x:c r="AK35" s="127"/>
      <x:c r="AL35" s="127"/>
    </x:row>
    <x:row r="36">
      <x:c r="A36" s="367" t="n">
        <x:f>IF(A35="","",IF(A35+'00_Start'!$B$12&lt;='00_Start'!$B$11,A35+'00_Start'!$B$12,""))</x:f>
        <x:v>51.79500000000007</x:v>
      </x:c>
      <x:c r="B36" s="367" t="n">
        <x:f>IF(A36="","",2/TAN(RADIANS(A36)))</x:f>
        <x:v>1.5741274387423925</x:v>
      </x:c>
      <x:c r="C36" s="369" t="n">
        <x:f>IF($A36="","",ABS(2/T36-'02_Constants'!$D$6)/'02_Constants'!$D$6)</x:f>
        <x:v>0.0021206517297457784</x:v>
      </x:c>
      <x:c r="D36" s="369" t="n">
        <x:f>IF($A36="","",ABS(2/(T36+2*V36)-'02_Constants'!$D$7)/'02_Constants'!$D$7)</x:f>
        <x:v>0.0003492577553155481</x:v>
      </x:c>
      <x:c r="E36" s="369" t="n">
        <x:f>IF($A36="","",ABS((T36+2*V36)/2-'02_Constants'!$D$8)/'02_Constants'!$D$8)</x:f>
        <x:v>0.00011602140042953719</x:v>
      </x:c>
      <x:c r="F36" s="369" t="n">
        <x:f>IF($A36="","",ABS((T36+2*V36)/V36-'02_Constants'!$D$9)/'02_Constants'!$D$9)</x:f>
        <x:v>0.00011602140042953796</x:v>
      </x:c>
      <x:c r="G36" s="369" t="n">
        <x:f>IF($A36="","",ABS(V36-'02_Constants'!$D$10)/'02_Constants'!$D$10)</x:f>
        <x:v>0</x:v>
      </x:c>
      <x:c r="H36" s="369" t="n">
        <x:f>IF($A36="","",ABS((W36+1)/W36-'02_Constants'!$D$11)/'02_Constants'!$D$11)</x:f>
        <x:v>0.0003962162228349566</x:v>
      </x:c>
      <x:c r="I36" s="369" t="n">
        <x:f>IF($A36="","",ABS((U36+2*V36)/(W36+1)-'02_Constants'!$D$12)/'02_Constants'!$D$12)</x:f>
        <x:v>0.0006589777533338687</x:v>
      </x:c>
      <x:c r="J36" s="369" t="n">
        <x:f>IF($A36="","",ABS(X36/U36-'02_Constants'!$D$13)/'02_Constants'!$D$13)</x:f>
        <x:v>0.000543216161062929</x:v>
      </x:c>
      <x:c r="K36" s="369" t="n">
        <x:f>IF($A36="","",ABS(W36/(W36+U36)-'02_Constants'!$D$14)/'02_Constants'!$D$14)</x:f>
        <x:v>0.0002737037422837354</x:v>
      </x:c>
      <x:c r="L36" s="369" t="n">
        <x:f>IF($A36="","",ABS(W36/U36-'02_Constants'!$D$15)/'02_Constants'!$D$15)</x:f>
        <x:v>0.000716248500933311</x:v>
      </x:c>
      <x:c r="M36" s="369" t="n">
        <x:f>IF($A36="","",ABS(2*A36/(90-A36)-'02_Constants'!$D$16)/'02_Constants'!$D$16)</x:f>
        <x:v>0.0025224103926229724</x:v>
      </x:c>
      <x:c r="N36" s="369" t="n">
        <x:f>IF($A36="","",ABS(2*A36/(90-A36)-1-'02_Constants'!$D$17)/'02_Constants'!$D$17)</x:f>
        <x:v>0.003990394486294654</x:v>
      </x:c>
      <x:c r="O36" s="369" t="n">
        <x:f>IF(A36="","",AVERAGE(C36:N36))</x:f>
        <x:v>0.0009835932954405692</x:v>
      </x:c>
      <x:c r="P36" s="369" t="n">
        <x:f>IF(A36="","",SUMPRODUCT(C36:N36,'03_12_Errors'!$P$4:$AA$4)/SUM('03_12_Errors'!$P$4:$AA$4))</x:f>
        <x:v>0.0012058451818350443</x:v>
      </x:c>
      <x:c r="Q36" s="369" t="n">
        <x:f>IF(A36="","",SQRT(SUMSQ(C36:N36)/12))</x:f>
        <x:v>0.0015385631132162477</x:v>
      </x:c>
      <x:c r="R36" s="369" t="n">
        <x:f>IF(A36="","",MAX(C36:N36))</x:f>
        <x:v>0.003990394486294654</x:v>
      </x:c>
      <x:c r="S36" s="390" t="n">
        <x:f>IF(A36="","",COUNTIF(C36:N36,"&lt;="&amp;'00_Start'!$B$7))</x:f>
        <x:v>9</x:v>
      </x:c>
      <x:c r="T36" s="365" t="n">
        <x:f>IF(A36="","",0.5*TAN(RADIANS(A36)))</x:f>
        <x:v>0.6352725804709456</x:v>
      </x:c>
      <x:c r="U36" s="365" t="n">
        <x:f>IF(A36="","",0.5)</x:f>
        <x:v>0.5</x:v>
      </x:c>
      <x:c r="V36" s="365" t="n">
        <x:f>IF(A36="","",SQRT(2))</x:f>
        <x:v>1.4142135623730951</x:v>
      </x:c>
      <x:c r="W36" s="365" t="n">
        <x:f>IF(A36="","",SQRT(T36^2+U36^2))</x:f>
        <x:v>0.8084375371654968</x:v>
      </x:c>
      <x:c r="X36" s="365" t="n">
        <x:f>IF(A36="","",SQRT(T36^2+2*U36^2))</x:f>
        <x:v>0.9505636493671605</x:v>
      </x:c>
      <x:c r="Y36" s="127"/>
      <x:c r="Z36" s="127"/>
      <x:c r="AA36" s="127"/>
      <x:c r="AB36" s="127"/>
      <x:c r="AC36" s="127"/>
      <x:c r="AD36" s="127"/>
      <x:c r="AE36" s="127"/>
      <x:c r="AF36" s="127"/>
      <x:c r="AG36" s="127"/>
      <x:c r="AH36" s="127"/>
      <x:c r="AI36" s="127"/>
      <x:c r="AJ36" s="127"/>
      <x:c r="AK36" s="127"/>
      <x:c r="AL36" s="127"/>
    </x:row>
    <x:row r="37">
      <x:c r="A37" s="367" t="n">
        <x:f>IF(A36="","",IF(A36+'00_Start'!$B$12&lt;='00_Start'!$B$11,A36+'00_Start'!$B$12,""))</x:f>
        <x:v>51.795500000000075</x:v>
      </x:c>
      <x:c r="B37" s="367" t="n">
        <x:f>IF(A37="","",2/TAN(RADIANS(A37)))</x:f>
        <x:v>1.5740991738651355</x:v>
      </x:c>
      <x:c r="C37" s="369" t="n">
        <x:f>IF($A37="","",ABS(2/T37-'02_Constants'!$D$6)/'02_Constants'!$D$6)</x:f>
        <x:v>0.002102657750020472</x:v>
      </x:c>
      <x:c r="D37" s="369" t="n">
        <x:f>IF($A37="","",ABS(2/(T37+2*V37)-'02_Constants'!$D$7)/'02_Constants'!$D$7)</x:f>
        <x:v>0.00034596328866969115</x:v>
      </x:c>
      <x:c r="E37" s="369" t="n">
        <x:f>IF($A37="","",ABS((T37+2*V37)/2-'02_Constants'!$D$8)/'02_Constants'!$D$8)</x:f>
        <x:v>0.00011272845525057882</x:v>
      </x:c>
      <x:c r="F37" s="369" t="n">
        <x:f>IF($A37="","",ABS((T37+2*V37)/V37-'02_Constants'!$D$9)/'02_Constants'!$D$9)</x:f>
        <x:v>0.0001127284552506943</x:v>
      </x:c>
      <x:c r="G37" s="369" t="n">
        <x:f>IF($A37="","",ABS(V37-'02_Constants'!$D$10)/'02_Constants'!$D$10)</x:f>
        <x:v>0</x:v>
      </x:c>
      <x:c r="H37" s="369" t="n">
        <x:f>IF($A37="","",ABS((W37+1)/W37-'02_Constants'!$D$11)/'02_Constants'!$D$11)</x:f>
        <x:v>0.0003900827351542817</x:v>
      </x:c>
      <x:c r="I37" s="369" t="n">
        <x:f>IF($A37="","",ABS((U37+2*V37)/(W37+1)-'02_Constants'!$D$12)/'02_Constants'!$D$12)</x:f>
        <x:v>0.0006540178788519936</x:v>
      </x:c>
      <x:c r="J37" s="369" t="n">
        <x:f>IF($A37="","",ABS(X37/U37-'02_Constants'!$D$13)/'02_Constants'!$D$13)</x:f>
        <x:v>0.0005352005062312199</x:v>
      </x:c>
      <x:c r="K37" s="369" t="n">
        <x:f>IF($A37="","",ABS(W37/(W37+U37)-'02_Constants'!$D$14)/'02_Constants'!$D$14)</x:f>
        <x:v>0.0002694679082537128</x:v>
      </x:c>
      <x:c r="L37" s="369" t="n">
        <x:f>IF($A37="","",ABS(W37/U37-'02_Constants'!$D$15)/'02_Constants'!$D$15)</x:f>
        <x:v>0.0007051686833331361</x:v>
      </x:c>
      <x:c r="M37" s="369" t="n">
        <x:f>IF($A37="","",ABS(2*A37/(90-A37)-'02_Constants'!$D$16)/'02_Constants'!$D$16)</x:f>
        <x:v>0.0024997267235269903</x:v>
      </x:c>
      <x:c r="N37" s="369" t="n">
        <x:f>IF($A37="","",ABS(2*A37/(90-A37)-1-'02_Constants'!$D$17)/'02_Constants'!$D$17)</x:f>
        <x:v>0.003954509450158479</x:v>
      </x:c>
      <x:c r="O37" s="369" t="n">
        <x:f>IF(A37="","",AVERAGE(C37:N37))</x:f>
        <x:v>0.0009735209862251041</x:v>
      </x:c>
      <x:c r="P37" s="369" t="n">
        <x:f>IF(A37="","",SUMPRODUCT(C37:N37,'03_12_Errors'!$P$4:$AA$4)/SUM('03_12_Errors'!$P$4:$AA$4))</x:f>
        <x:v>0.0011940623439861866</x:v>
      </x:c>
      <x:c r="Q37" s="369" t="n">
        <x:f>IF(A37="","",SQRT(SUMSQ(C37:N37)/12))</x:f>
        <x:v>0.0015245019306128714</x:v>
      </x:c>
      <x:c r="R37" s="369" t="n">
        <x:f>IF(A37="","",MAX(C37:N37))</x:f>
        <x:v>0.003954509450158479</x:v>
      </x:c>
      <x:c r="S37" s="390" t="n">
        <x:f>IF(A37="","",COUNTIF(C37:N37,"&lt;="&amp;'00_Start'!$B$7))</x:f>
        <x:v>9</x:v>
      </x:c>
      <x:c r="T37" s="365" t="n">
        <x:f>IF(A37="","",0.5*TAN(RADIANS(A37)))</x:f>
        <x:v>0.6352839875676584</x:v>
      </x:c>
      <x:c r="U37" s="365" t="n">
        <x:f>IF(A37="","",0.5)</x:f>
        <x:v>0.5</x:v>
      </x:c>
      <x:c r="V37" s="365" t="n">
        <x:f>IF(A37="","",SQRT(2))</x:f>
        <x:v>1.4142135623730951</x:v>
      </x:c>
      <x:c r="W37" s="365" t="n">
        <x:f>IF(A37="","",SQRT(T37^2+U37^2))</x:f>
        <x:v>0.8084465009262299</x:v>
      </x:c>
      <x:c r="X37" s="365" t="n">
        <x:f>IF(A37="","",SQRT(T37^2+2*U37^2))</x:f>
        <x:v>0.9505712728984949</x:v>
      </x:c>
      <x:c r="Y37" s="127"/>
      <x:c r="Z37" s="127"/>
      <x:c r="AA37" s="127"/>
      <x:c r="AB37" s="127"/>
      <x:c r="AC37" s="127"/>
      <x:c r="AD37" s="127"/>
      <x:c r="AE37" s="127"/>
      <x:c r="AF37" s="127"/>
      <x:c r="AG37" s="127"/>
      <x:c r="AH37" s="127"/>
      <x:c r="AI37" s="127"/>
      <x:c r="AJ37" s="127"/>
      <x:c r="AK37" s="127"/>
      <x:c r="AL37" s="127"/>
    </x:row>
    <x:row r="38">
      <x:c r="A38" s="367" t="n">
        <x:f>IF(A37="","",IF(A37+'00_Start'!$B$12&lt;='00_Start'!$B$11,A37+'00_Start'!$B$12,""))</x:f>
        <x:v>51.79600000000008</x:v>
      </x:c>
      <x:c r="B38" s="367" t="n">
        <x:f>IF(A38="","",2/TAN(RADIANS(A38)))</x:f>
        <x:v>1.5740709093761398</x:v>
      </x:c>
      <x:c r="C38" s="369" t="n">
        <x:f>IF($A38="","",ABS(2/T38-'02_Constants'!$D$6)/'02_Constants'!$D$6)</x:f>
        <x:v>0.002084664017469922</x:v>
      </x:c>
      <x:c r="D38" s="369" t="n">
        <x:f>IF($A38="","",ABS(2/(T38+2*V38)-'02_Constants'!$D$7)/'02_Constants'!$D$7)</x:f>
        <x:v>0.0003426687706668341</x:v>
      </x:c>
      <x:c r="E38" s="369" t="n">
        <x:f>IF($A38="","",ABS((T38+2*V38)/2-'02_Constants'!$D$8)/'02_Constants'!$D$8)</x:f>
        <x:v>0.00010943543704800981</x:v>
      </x:c>
      <x:c r="F38" s="369" t="n">
        <x:f>IF($A38="","",ABS((T38+2*V38)/V38-'02_Constants'!$D$9)/'02_Constants'!$D$9)</x:f>
        <x:v>0.00010943543704801347</x:v>
      </x:c>
      <x:c r="G38" s="369" t="n">
        <x:f>IF($A38="","",ABS(V38-'02_Constants'!$D$10)/'02_Constants'!$D$10)</x:f>
        <x:v>0</x:v>
      </x:c>
      <x:c r="H38" s="369" t="n">
        <x:f>IF($A38="","",ABS((W38+1)/W38-'02_Constants'!$D$11)/'02_Constants'!$D$11)</x:f>
        <x:v>0.0003839492053471869</x:v>
      </x:c>
      <x:c r="I38" s="369" t="n">
        <x:f>IF($A38="","",ABS((U38+2*V38)/(W38+1)-'02_Constants'!$D$12)/'02_Constants'!$D$12)</x:f>
        <x:v>0.0006490579094839674</x:v>
      </x:c>
      <x:c r="J38" s="369" t="n">
        <x:f>IF($A38="","",ABS(X38/U38-'02_Constants'!$D$13)/'02_Constants'!$D$13)</x:f>
        <x:v>0.0005271845939998656</x:v>
      </x:c>
      <x:c r="K38" s="369" t="n">
        <x:f>IF($A38="","",ABS(W38/(W38+U38)-'02_Constants'!$D$14)/'02_Constants'!$D$14)</x:f>
        <x:v>0.00026523200923592237</x:v>
      </x:c>
      <x:c r="L38" s="369" t="n">
        <x:f>IF($A38="","",ABS(W38/U38-'02_Constants'!$D$15)/'02_Constants'!$D$15)</x:f>
        <x:v>0.0006940885439273739</x:v>
      </x:c>
      <x:c r="M38" s="369" t="n">
        <x:f>IF($A38="","",ABS(2*A38/(90-A38)-'02_Constants'!$D$16)/'02_Constants'!$D$16)</x:f>
        <x:v>0.0024770424606797817</x:v>
      </x:c>
      <x:c r="N38" s="369" t="n">
        <x:f>IF($A38="","",ABS(2*A38/(90-A38)-1-'02_Constants'!$D$17)/'02_Constants'!$D$17)</x:f>
        <x:v>0.003918623474721694</x:v>
      </x:c>
      <x:c r="O38" s="369" t="n">
        <x:f>IF(A38="","",AVERAGE(C38:N38))</x:f>
        <x:v>0.0009634484883023808</x:v>
      </x:c>
      <x:c r="P38" s="369" t="n">
        <x:f>IF(A38="","",SUMPRODUCT(C38:N38,'03_12_Errors'!$P$4:$AA$4)/SUM('03_12_Errors'!$P$4:$AA$4))</x:f>
        <x:v>0.0011822793260687125</x:v>
      </x:c>
      <x:c r="Q38" s="369" t="n">
        <x:f>IF(A38="","",SQRT(SUMSQ(C38:N38)/12))</x:f>
        <x:v>0.0015104433994243265</x:v>
      </x:c>
      <x:c r="R38" s="369" t="n">
        <x:f>IF(A38="","",MAX(C38:N38))</x:f>
        <x:v>0.003918623474721694</x:v>
      </x:c>
      <x:c r="S38" s="390" t="n">
        <x:f>IF(A38="","",COUNTIF(C38:N38,"&lt;="&amp;'00_Start'!$B$7))</x:f>
        <x:v>9</x:v>
      </x:c>
      <x:c r="T38" s="365" t="n">
        <x:f>IF(A38="","",0.5*TAN(RADIANS(A38)))</x:f>
        <x:v>0.6352953949173329</x:v>
      </x:c>
      <x:c r="U38" s="365" t="n">
        <x:f>IF(A38="","",0.5)</x:f>
        <x:v>0.5</x:v>
      </x:c>
      <x:c r="V38" s="365" t="n">
        <x:f>IF(A38="","",SQRT(2))</x:f>
        <x:v>1.4142135623730951</x:v>
      </x:c>
      <x:c r="W38" s="365" t="n">
        <x:f>IF(A38="","",SQRT(T38^2+U38^2))</x:f>
        <x:v>0.8084554649473092</x:v>
      </x:c>
      <x:c r="X38" s="365" t="n">
        <x:f>IF(A38="","",SQRT(T38^2+2*U38^2))</x:f>
        <x:v>0.9505788966746369</x:v>
      </x:c>
      <x:c r="Y38" s="127"/>
      <x:c r="Z38" s="127"/>
      <x:c r="AA38" s="127"/>
      <x:c r="AB38" s="127"/>
      <x:c r="AC38" s="127"/>
      <x:c r="AD38" s="127"/>
      <x:c r="AE38" s="127"/>
      <x:c r="AF38" s="127"/>
      <x:c r="AG38" s="127"/>
      <x:c r="AH38" s="127"/>
      <x:c r="AI38" s="127"/>
      <x:c r="AJ38" s="127"/>
      <x:c r="AK38" s="127"/>
      <x:c r="AL38" s="127"/>
    </x:row>
    <x:row r="39">
      <x:c r="A39" s="367" t="n">
        <x:f>IF(A38="","",IF(A38+'00_Start'!$B$12&lt;='00_Start'!$B$11,A38+'00_Start'!$B$12,""))</x:f>
        <x:v>51.79650000000008</x:v>
      </x:c>
      <x:c r="B39" s="367" t="n">
        <x:f>IF(A39="","",2/TAN(RADIANS(A39)))</x:f>
        <x:v>1.5740426452753924</x:v>
      </x:c>
      <x:c r="C39" s="369" t="n">
        <x:f>IF($A39="","",ABS(2/T39-'02_Constants'!$D$6)/'02_Constants'!$D$6)</x:f>
        <x:v>0.0020666705320859314</x:v>
      </x:c>
      <x:c r="D39" s="369" t="n">
        <x:f>IF($A39="","",ABS(2/(T39+2*V39)-'02_Constants'!$D$7)/'02_Constants'!$D$7)</x:f>
        <x:v>0.0003393742013044764</x:v>
      </x:c>
      <x:c r="E39" s="369" t="n">
        <x:f>IF($A39="","",ABS((T39+2*V39)/2-'02_Constants'!$D$8)/'02_Constants'!$D$8)</x:f>
        <x:v>0.00010614234581849704</x:v>
      </x:c>
      <x:c r="F39" s="369" t="n">
        <x:f>IF($A39="","",ABS((T39+2*V39)/V39-'02_Constants'!$D$9)/'02_Constants'!$D$9)</x:f>
        <x:v>0.0001061423458185947</x:v>
      </x:c>
      <x:c r="G39" s="369" t="n">
        <x:f>IF($A39="","",ABS(V39-'02_Constants'!$D$10)/'02_Constants'!$D$10)</x:f>
        <x:v>0</x:v>
      </x:c>
      <x:c r="H39" s="369" t="n">
        <x:f>IF($A39="","",ABS((W39+1)/W39-'02_Constants'!$D$11)/'02_Constants'!$D$11)</x:f>
        <x:v>0.00037781563341327494</x:v>
      </x:c>
      <x:c r="I39" s="369" t="n">
        <x:f>IF($A39="","",ABS((U39+2*V39)/(W39+1)-'02_Constants'!$D$12)/'02_Constants'!$D$12)</x:f>
        <x:v>0.0006440978452282209</x:v>
      </x:c>
      <x:c r="J39" s="369" t="n">
        <x:f>IF($A39="","",ABS(X39/U39-'02_Constants'!$D$13)/'02_Constants'!$D$13)</x:f>
        <x:v>0.0005191684243582434</x:v>
      </x:c>
      <x:c r="K39" s="369" t="n">
        <x:f>IF($A39="","",ABS(W39/(W39+U39)-'02_Constants'!$D$14)/'02_Constants'!$D$14)</x:f>
        <x:v>0.00026099604522910664</x:v>
      </x:c>
      <x:c r="L39" s="369" t="n">
        <x:f>IF($A39="","",ABS(W39/U39-'02_Constants'!$D$15)/'02_Constants'!$D$15)</x:f>
        <x:v>0.0006830080827033991</x:v>
      </x:c>
      <x:c r="M39" s="369" t="n">
        <x:f>IF($A39="","",ABS(2*A39/(90-A39)-'02_Constants'!$D$16)/'02_Constants'!$D$16)</x:f>
        <x:v>0.002454357604058148</x:v>
      </x:c>
      <x:c r="N39" s="369" t="n">
        <x:f>IF($A39="","",ABS(2*A39/(90-A39)-1-'02_Constants'!$D$17)/'02_Constants'!$D$17)</x:f>
        <x:v>0.0038827365599475995</x:v>
      </x:c>
      <x:c r="O39" s="369" t="n">
        <x:f>IF(A39="","",AVERAGE(C39:N39))</x:f>
        <x:v>0.000953375801663791</x:v>
      </x:c>
      <x:c r="P39" s="369" t="n">
        <x:f>IF(A39="","",SUMPRODUCT(C39:N39,'03_12_Errors'!$P$4:$AA$4)/SUM('03_12_Errors'!$P$4:$AA$4))</x:f>
        <x:v>0.0011704961280729535</x:v>
      </x:c>
      <x:c r="Q39" s="369" t="n">
        <x:f>IF(A39="","",SQRT(SUMSQ(C39:N39)/12))</x:f>
        <x:v>0.0014963876027230833</x:v>
      </x:c>
      <x:c r="R39" s="369" t="n">
        <x:f>IF(A39="","",MAX(C39:N39))</x:f>
        <x:v>0.0038827365599475995</x:v>
      </x:c>
      <x:c r="S39" s="390" t="n">
        <x:f>IF(A39="","",COUNTIF(C39:N39,"&lt;="&amp;'00_Start'!$B$7))</x:f>
        <x:v>9</x:v>
      </x:c>
      <x:c r="T39" s="365" t="n">
        <x:f>IF(A39="","",0.5*TAN(RADIANS(A39)))</x:f>
        <x:v>0.6353068025199796</x:v>
      </x:c>
      <x:c r="U39" s="365" t="n">
        <x:f>IF(A39="","",0.5)</x:f>
        <x:v>0.5</x:v>
      </x:c>
      <x:c r="V39" s="365" t="n">
        <x:f>IF(A39="","",SQRT(2))</x:f>
        <x:v>1.4142135623730951</x:v>
      </x:c>
      <x:c r="W39" s="365" t="n">
        <x:f>IF(A39="","",SQRT(T39^2+U39^2))</x:f>
        <x:v>0.808464429228745</x:v>
      </x:c>
      <x:c r="X39" s="365" t="n">
        <x:f>IF(A39="","",SQRT(T39^2+2*U39^2))</x:f>
        <x:v>0.9505865206955968</x:v>
      </x:c>
      <x:c r="Y39" s="127"/>
      <x:c r="Z39" s="127"/>
      <x:c r="AA39" s="127"/>
      <x:c r="AB39" s="127"/>
      <x:c r="AC39" s="127"/>
      <x:c r="AD39" s="127"/>
      <x:c r="AE39" s="127"/>
      <x:c r="AF39" s="127"/>
      <x:c r="AG39" s="127"/>
      <x:c r="AH39" s="127"/>
      <x:c r="AI39" s="127"/>
      <x:c r="AJ39" s="127"/>
      <x:c r="AK39" s="127"/>
      <x:c r="AL39" s="127"/>
    </x:row>
    <x:row r="40">
      <x:c r="A40" s="367" t="n">
        <x:f>IF(A39="","",IF(A39+'00_Start'!$B$12&lt;='00_Start'!$B$11,A39+'00_Start'!$B$12,""))</x:f>
        <x:v>51.79700000000008</x:v>
      </x:c>
      <x:c r="B40" s="367" t="n">
        <x:f>IF(A40="","",2/TAN(RADIANS(A40)))</x:f>
        <x:v>1.5740143815628809</x:v>
      </x:c>
      <x:c r="C40" s="369" t="n">
        <x:f>IF($A40="","",ABS(2/T40-'02_Constants'!$D$6)/'02_Constants'!$D$6)</x:f>
        <x:v>0.002048677293860583</x:v>
      </x:c>
      <x:c r="D40" s="369" t="n">
        <x:f>IF($A40="","",ABS(2/(T40+2*V40)-'02_Constants'!$D$7)/'02_Constants'!$D$7)</x:f>
        <x:v>0.0003360795805812718</x:v>
      </x:c>
      <x:c r="E40" s="369" t="n">
        <x:f>IF($A40="","",ABS((T40+2*V40)/2-'02_Constants'!$D$8)/'02_Constants'!$D$8)</x:f>
        <x:v>0.00010284918155934834</x:v>
      </x:c>
      <x:c r="F40" s="369" t="n">
        <x:f>IF($A40="","",ABS((T40+2*V40)/V40-'02_Constants'!$D$9)/'02_Constants'!$D$9)</x:f>
        <x:v>0.00010284918155935589</x:v>
      </x:c>
      <x:c r="G40" s="369" t="n">
        <x:f>IF($A40="","",ABS(V40-'02_Constants'!$D$10)/'02_Constants'!$D$10)</x:f>
        <x:v>0</x:v>
      </x:c>
      <x:c r="H40" s="369" t="n">
        <x:f>IF($A40="","",ABS((W40+1)/W40-'02_Constants'!$D$11)/'02_Constants'!$D$11)</x:f>
        <x:v>0.00037168201935373744</x:v>
      </x:c>
      <x:c r="I40" s="369" t="n">
        <x:f>IF($A40="","",ABS((U40+2*V40)/(W40+1)-'02_Constants'!$D$12)/'02_Constants'!$D$12)</x:f>
        <x:v>0.0006391376860822189</x:v>
      </x:c>
      <x:c r="J40" s="369" t="n">
        <x:f>IF($A40="","",ABS(X40/U40-'02_Constants'!$D$13)/'02_Constants'!$D$13)</x:f>
        <x:v>0.0005111519972954971</x:v>
      </x:c>
      <x:c r="K40" s="369" t="n">
        <x:f>IF($A40="","",ABS(W40/(W40+U40)-'02_Constants'!$D$14)/'02_Constants'!$D$14)</x:f>
        <x:v>0.000256760016232547</x:v>
      </x:c>
      <x:c r="L40" s="369" t="n">
        <x:f>IF($A40="","",ABS(W40/U40-'02_Constants'!$D$15)/'02_Constants'!$D$15)</x:f>
        <x:v>0.0006719272996487236</x:v>
      </x:c>
      <x:c r="M40" s="369" t="n">
        <x:f>IF($A40="","",ABS(2*A40/(90-A40)-'02_Constants'!$D$16)/'02_Constants'!$D$16)</x:f>
        <x:v>0.0024316721536387273</x:v>
      </x:c>
      <x:c r="N40" s="369" t="n">
        <x:f>IF($A40="","",ABS(2*A40/(90-A40)-1-'02_Constants'!$D$17)/'02_Constants'!$D$17)</x:f>
        <x:v>0.0038468487057992367</x:v>
      </x:c>
      <x:c r="O40" s="369" t="n">
        <x:f>IF(A40="","",AVERAGE(C40:N40))</x:f>
        <x:v>0.0009433029263009374</x:v>
      </x:c>
      <x:c r="P40" s="369" t="n">
        <x:f>IF(A40="","",SUMPRODUCT(C40:N40,'03_12_Errors'!$P$4:$AA$4)/SUM('03_12_Errors'!$P$4:$AA$4))</x:f>
        <x:v>0.0011587127499892683</x:v>
      </x:c>
      <x:c r="Q40" s="369" t="n">
        <x:f>IF(A40="","",SQRT(SUMSQ(C40:N40)/12))</x:f>
        <x:v>0.0014823346267183646</x:v>
      </x:c>
      <x:c r="R40" s="369" t="n">
        <x:f>IF(A40="","",MAX(C40:N40))</x:f>
        <x:v>0.0038468487057992367</x:v>
      </x:c>
      <x:c r="S40" s="390" t="n">
        <x:f>IF(A40="","",COUNTIF(C40:N40,"&lt;="&amp;'00_Start'!$B$7))</x:f>
        <x:v>9</x:v>
      </x:c>
      <x:c r="T40" s="365" t="n">
        <x:f>IF(A40="","",0.5*TAN(RADIANS(A40)))</x:f>
        <x:v>0.6353182103756088</x:v>
      </x:c>
      <x:c r="U40" s="365" t="n">
        <x:f>IF(A40="","",0.5)</x:f>
        <x:v>0.5</x:v>
      </x:c>
      <x:c r="V40" s="365" t="n">
        <x:f>IF(A40="","",SQRT(2))</x:f>
        <x:v>1.4142135623730951</x:v>
      </x:c>
      <x:c r="W40" s="365" t="n">
        <x:f>IF(A40="","",SQRT(T40^2+U40^2))</x:f>
        <x:v>0.8084733937705472</x:v>
      </x:c>
      <x:c r="X40" s="365" t="n">
        <x:f>IF(A40="","",SQRT(T40^2+2*U40^2))</x:f>
        <x:v>0.9505941449613848</x:v>
      </x:c>
      <x:c r="Y40" s="127"/>
      <x:c r="Z40" s="127"/>
      <x:c r="AA40" s="127"/>
      <x:c r="AB40" s="127"/>
      <x:c r="AC40" s="127"/>
      <x:c r="AD40" s="127"/>
      <x:c r="AE40" s="127"/>
      <x:c r="AF40" s="127"/>
      <x:c r="AG40" s="127"/>
      <x:c r="AH40" s="127"/>
      <x:c r="AI40" s="127"/>
      <x:c r="AJ40" s="127"/>
      <x:c r="AK40" s="127"/>
      <x:c r="AL40" s="127"/>
    </x:row>
    <x:row r="41">
      <x:c r="A41" s="367" t="n">
        <x:f>IF(A40="","",IF(A40+'00_Start'!$B$12&lt;='00_Start'!$B$11,A40+'00_Start'!$B$12,""))</x:f>
        <x:v>51.797500000000085</x:v>
      </x:c>
      <x:c r="B41" s="367" t="n">
        <x:f>IF(A41="","",2/TAN(RADIANS(A41)))</x:f>
        <x:v>1.5739861182385937</x:v>
      </x:c>
      <x:c r="C41" s="369" t="n">
        <x:f>IF($A41="","",ABS(2/T41-'02_Constants'!$D$6)/'02_Constants'!$D$6)</x:f>
        <x:v>0.002030684302786527</x:v>
      </x:c>
      <x:c r="D41" s="369" t="n">
        <x:f>IF($A41="","",ABS(2/(T41+2*V41)-'02_Constants'!$D$7)/'02_Constants'!$D$7)</x:f>
        <x:v>0.0003327849084954891</x:v>
      </x:c>
      <x:c r="E41" s="369" t="n">
        <x:f>IF($A41="","",ABS((T41+2*V41)/2-'02_Constants'!$D$8)/'02_Constants'!$D$8)</x:f>
        <x:v>0.0000995559442676152</x:v>
      </x:c>
      <x:c r="F41" s="369" t="n">
        <x:f>IF($A41="","",ABS((T41+2*V41)/V41-'02_Constants'!$D$9)/'02_Constants'!$D$9)</x:f>
        <x:v>0.00009955594426757757</x:v>
      </x:c>
      <x:c r="G41" s="369" t="n">
        <x:f>IF($A41="","",ABS(V41-'02_Constants'!$D$10)/'02_Constants'!$D$10)</x:f>
        <x:v>0</x:v>
      </x:c>
      <x:c r="H41" s="369" t="n">
        <x:f>IF($A41="","",ABS((W41+1)/W41-'02_Constants'!$D$11)/'02_Constants'!$D$11)</x:f>
        <x:v>0.000365548363168773</x:v>
      </x:c>
      <x:c r="I41" s="369" t="n">
        <x:f>IF($A41="","",ABS((U41+2*V41)/(W41+1)-'02_Constants'!$D$12)/'02_Constants'!$D$12)</x:f>
        <x:v>0.0006341774320443921</x:v>
      </x:c>
      <x:c r="J41" s="369" t="n">
        <x:f>IF($A41="","",ABS(X41/U41-'02_Constants'!$D$13)/'02_Constants'!$D$13)</x:f>
        <x:v>0.0005031353128017044</x:v>
      </x:c>
      <x:c r="K41" s="369" t="n">
        <x:f>IF($A41="","",ABS(W41/(W41+U41)-'02_Constants'!$D$14)/'02_Constants'!$D$14)</x:f>
        <x:v>0.00025252392224534535</x:v>
      </x:c>
      <x:c r="L41" s="369" t="n">
        <x:f>IF($A41="","",ABS(W41/U41-'02_Constants'!$D$15)/'02_Constants'!$D$15)</x:f>
        <x:v>0.0006608461947512711</x:v>
      </x:c>
      <x:c r="M41" s="369" t="n">
        <x:f>IF($A41="","",ABS(2*A41/(90-A41)-'02_Constants'!$D$16)/'02_Constants'!$D$16)</x:f>
        <x:v>0.0024089861093981573</x:v>
      </x:c>
      <x:c r="N41" s="369" t="n">
        <x:f>IF($A41="","",ABS(2*A41/(90-A41)-1-'02_Constants'!$D$17)/'02_Constants'!$D$17)</x:f>
        <x:v>0.0038109599122396476</x:v>
      </x:c>
      <x:c r="O41" s="369" t="n">
        <x:f>IF(A41="","",AVERAGE(C41:N41))</x:f>
        <x:v>0.0009332298622055417</x:v>
      </x:c>
      <x:c r="P41" s="369" t="n">
        <x:f>IF(A41="","",SUMPRODUCT(C41:N41,'03_12_Errors'!$P$4:$AA$4)/SUM('03_12_Errors'!$P$4:$AA$4))</x:f>
        <x:v>0.0011469291918083694</x:v>
      </x:c>
      <x:c r="Q41" s="369" t="n">
        <x:f>IF(A41="","",SQRT(SUMSQ(C41:N41)/12))</x:f>
        <x:v>0.0014682845609047808</x:v>
      </x:c>
      <x:c r="R41" s="369" t="n">
        <x:f>IF(A41="","",MAX(C41:N41))</x:f>
        <x:v>0.0038109599122396476</x:v>
      </x:c>
      <x:c r="S41" s="390" t="n">
        <x:f>IF(A41="","",COUNTIF(C41:N41,"&lt;="&amp;'00_Start'!$B$7))</x:f>
        <x:v>9</x:v>
      </x:c>
      <x:c r="T41" s="365" t="n">
        <x:f>IF(A41="","",0.5*TAN(RADIANS(A41)))</x:f>
        <x:v>0.6353296184842301</x:v>
      </x:c>
      <x:c r="U41" s="365" t="n">
        <x:f>IF(A41="","",0.5)</x:f>
        <x:v>0.5</x:v>
      </x:c>
      <x:c r="V41" s="365" t="n">
        <x:f>IF(A41="","",SQRT(2))</x:f>
        <x:v>1.4142135623730951</x:v>
      </x:c>
      <x:c r="W41" s="365" t="n">
        <x:f>IF(A41="","",SQRT(T41^2+U41^2))</x:f>
        <x:v>0.8084823585727257</x:v>
      </x:c>
      <x:c r="X41" s="365" t="n">
        <x:f>IF(A41="","",SQRT(T41^2+2*U41^2))</x:f>
        <x:v>0.9506017694720105</x:v>
      </x:c>
      <x:c r="Y41" s="127"/>
      <x:c r="Z41" s="127"/>
      <x:c r="AA41" s="127"/>
      <x:c r="AB41" s="127"/>
      <x:c r="AC41" s="127"/>
      <x:c r="AD41" s="127"/>
      <x:c r="AE41" s="127"/>
      <x:c r="AF41" s="127"/>
      <x:c r="AG41" s="127"/>
      <x:c r="AH41" s="127"/>
      <x:c r="AI41" s="127"/>
      <x:c r="AJ41" s="127"/>
      <x:c r="AK41" s="127"/>
      <x:c r="AL41" s="127"/>
    </x:row>
    <x:row r="42">
      <x:c r="A42" s="367" t="n">
        <x:f>IF(A41="","",IF(A41+'00_Start'!$B$12&lt;='00_Start'!$B$11,A41+'00_Start'!$B$12,""))</x:f>
        <x:v>51.79800000000009</x:v>
      </x:c>
      <x:c r="B42" s="367" t="n">
        <x:f>IF(A42="","",2/TAN(RADIANS(A42)))</x:f>
        <x:v>1.5739578553025177</x:v>
      </x:c>
      <x:c r="C42" s="369" t="n">
        <x:f>IF($A42="","",ABS(2/T42-'02_Constants'!$D$6)/'02_Constants'!$D$6)</x:f>
        <x:v>0.0020126915588554225</x:v>
      </x:c>
      <x:c r="D42" s="369" t="n">
        <x:f>IF($A42="","",ABS(2/(T42+2*V42)-'02_Constants'!$D$7)/'02_Constants'!$D$7)</x:f>
        <x:v>0.00032949018504539734</x:v>
      </x:c>
      <x:c r="E42" s="369" t="n">
        <x:f>IF($A42="","",ABS((T42+2*V42)/2-'02_Constants'!$D$8)/'02_Constants'!$D$8)</x:f>
        <x:v>0.00009626263394022085</x:v>
      </x:c>
      <x:c r="F42" s="369" t="n">
        <x:f>IF($A42="","",ABS((T42+2*V42)/V42-'02_Constants'!$D$9)/'02_Constants'!$D$9)</x:f>
        <x:v>0.00009626263394017769</x:v>
      </x:c>
      <x:c r="G42" s="369" t="n">
        <x:f>IF($A42="","",ABS(V42-'02_Constants'!$D$10)/'02_Constants'!$D$10)</x:f>
        <x:v>0</x:v>
      </x:c>
      <x:c r="H42" s="369" t="n">
        <x:f>IF($A42="","",ABS((W42+1)/W42-'02_Constants'!$D$11)/'02_Constants'!$D$11)</x:f>
        <x:v>0.00035941466485877883</x:v>
      </x:c>
      <x:c r="I42" s="369" t="n">
        <x:f>IF($A42="","",ABS((U42+2*V42)/(W42+1)-'02_Constants'!$D$12)/'02_Constants'!$D$12)</x:f>
        <x:v>0.0006292170831125672</x:v>
      </x:c>
      <x:c r="J42" s="369" t="n">
        <x:f>IF($A42="","",ABS(X42/U42-'02_Constants'!$D$13)/'02_Constants'!$D$13)</x:f>
        <x:v>0.0004951183708658925</x:v>
      </x:c>
      <x:c r="K42" s="369" t="n">
        <x:f>IF($A42="","",ABS(W42/(W42+U42)-'02_Constants'!$D$14)/'02_Constants'!$D$14)</x:f>
        <x:v>0.00024828776326660343</x:v>
      </x:c>
      <x:c r="L42" s="369" t="n">
        <x:f>IF($A42="","",ABS(W42/U42-'02_Constants'!$D$15)/'02_Constants'!$D$15)</x:f>
        <x:v>0.0006497647679982792</x:v>
      </x:c>
      <x:c r="M42" s="369" t="n">
        <x:f>IF($A42="","",ABS(2*A42/(90-A42)-'02_Constants'!$D$16)/'02_Constants'!$D$16)</x:f>
        <x:v>0.002386299471313239</x:v>
      </x:c>
      <x:c r="N42" s="369" t="n">
        <x:f>IF($A42="","",ABS(2*A42/(90-A42)-1-'02_Constants'!$D$17)/'02_Constants'!$D$17)</x:f>
        <x:v>0.0037750701792321323</x:v>
      </x:c>
      <x:c r="O42" s="369" t="n">
        <x:f>IF(A42="","",AVERAGE(C42:N42))</x:f>
        <x:v>0.0009231566093690593</x:v>
      </x:c>
      <x:c r="P42" s="369" t="n">
        <x:f>IF(A42="","",SUMPRODUCT(C42:N42,'03_12_Errors'!$P$4:$AA$4)/SUM('03_12_Errors'!$P$4:$AA$4))</x:f>
        <x:v>0.001135145453520509</x:v>
      </x:c>
      <x:c r="Q42" s="369" t="n">
        <x:f>IF(A42="","",SQRT(SUMSQ(C42:N42)/12))</x:f>
        <x:v>0.0014542374982190788</x:v>
      </x:c>
      <x:c r="R42" s="369" t="n">
        <x:f>IF(A42="","",MAX(C42:N42))</x:f>
        <x:v>0.0037750701792321323</x:v>
      </x:c>
      <x:c r="S42" s="390" t="n">
        <x:f>IF(A42="","",COUNTIF(C42:N42,"&lt;="&amp;'00_Start'!$B$7))</x:f>
        <x:v>9</x:v>
      </x:c>
      <x:c r="T42" s="365" t="n">
        <x:f>IF(A42="","",0.5*TAN(RADIANS(A42)))</x:f>
        <x:v>0.6353410268458541</x:v>
      </x:c>
      <x:c r="U42" s="365" t="n">
        <x:f>IF(A42="","",0.5)</x:f>
        <x:v>0.5</x:v>
      </x:c>
      <x:c r="V42" s="365" t="n">
        <x:f>IF(A42="","",SQRT(2))</x:f>
        <x:v>1.4142135623730951</x:v>
      </x:c>
      <x:c r="W42" s="365" t="n">
        <x:f>IF(A42="","",SQRT(T42^2+U42^2))</x:f>
        <x:v>0.8084913236352907</x:v>
      </x:c>
      <x:c r="X42" s="365" t="n">
        <x:f>IF(A42="","",SQRT(T42^2+2*U42^2))</x:f>
        <x:v>0.9506093942274841</x:v>
      </x:c>
      <x:c r="Y42" s="127"/>
      <x:c r="Z42" s="127"/>
      <x:c r="AA42" s="127"/>
      <x:c r="AB42" s="127"/>
      <x:c r="AC42" s="127"/>
      <x:c r="AD42" s="127"/>
      <x:c r="AE42" s="127"/>
      <x:c r="AF42" s="127"/>
      <x:c r="AG42" s="127"/>
      <x:c r="AH42" s="127"/>
      <x:c r="AI42" s="127"/>
      <x:c r="AJ42" s="127"/>
      <x:c r="AK42" s="127"/>
      <x:c r="AL42" s="127"/>
    </x:row>
    <x:row r="43">
      <x:c r="A43" s="367" t="n">
        <x:f>IF(A42="","",IF(A42+'00_Start'!$B$12&lt;='00_Start'!$B$11,A42+'00_Start'!$B$12,""))</x:f>
        <x:v>51.79850000000009</x:v>
      </x:c>
      <x:c r="B43" s="367" t="n">
        <x:f>IF(A43="","",2/TAN(RADIANS(A43)))</x:f>
        <x:v>1.573929592754642</x:v>
      </x:c>
      <x:c r="C43" s="369" t="n">
        <x:f>IF($A43="","",ABS(2/T43-'02_Constants'!$D$6)/'02_Constants'!$D$6)</x:f>
        <x:v>0.001994699062060202</x:v>
      </x:c>
      <x:c r="D43" s="369" t="n">
        <x:f>IF($A43="","",ABS(2/(T43+2*V43)-'02_Constants'!$D$7)/'02_Constants'!$D$7)</x:f>
        <x:v>0.00032619541022945776</x:v>
      </x:c>
      <x:c r="E43" s="369" t="n">
        <x:f>IF($A43="","",ABS((T43+2*V43)/2-'02_Constants'!$D$8)/'02_Constants'!$D$8)</x:f>
        <x:v>0.00009296925057460135</x:v>
      </x:c>
      <x:c r="F43" s="369" t="n">
        <x:f>IF($A43="","",ABS((T43+2*V43)/V43-'02_Constants'!$D$9)/'02_Constants'!$D$9)</x:f>
        <x:v>0.00009296925057461805</x:v>
      </x:c>
      <x:c r="G43" s="369" t="n">
        <x:f>IF($A43="","",ABS(V43-'02_Constants'!$D$10)/'02_Constants'!$D$10)</x:f>
        <x:v>0</x:v>
      </x:c>
      <x:c r="H43" s="369" t="n">
        <x:f>IF($A43="","",ABS((W43+1)/W43-'02_Constants'!$D$11)/'02_Constants'!$D$11)</x:f>
        <x:v>0.0003532809244245493</x:v>
      </x:c>
      <x:c r="I43" s="369" t="n">
        <x:f>IF($A43="","",ABS((U43+2*V43)/(W43+1)-'02_Constants'!$D$12)/'02_Constants'!$D$12)</x:f>
        <x:v>0.0006242566392849337</x:v>
      </x:c>
      <x:c r="J43" s="369" t="n">
        <x:f>IF($A43="","",ABS(X43/U43-'02_Constants'!$D$13)/'02_Constants'!$D$13)</x:f>
        <x:v>0.00048710117147790553</x:v>
      </x:c>
      <x:c r="K43" s="369" t="n">
        <x:f>IF($A43="","",ABS(W43/(W43+U43)-'02_Constants'!$D$14)/'02_Constants'!$D$14)</x:f>
        <x:v>0.0002440515392956027</x:v>
      </x:c>
      <x:c r="L43" s="369" t="n">
        <x:f>IF($A43="","",ABS(W43/U43-'02_Constants'!$D$15)/'02_Constants'!$D$15)</x:f>
        <x:v>0.0006386830193779459</x:v>
      </x:c>
      <x:c r="M43" s="369" t="n">
        <x:f>IF($A43="","",ABS(2*A43/(90-A43)-'02_Constants'!$D$16)/'02_Constants'!$D$16)</x:f>
        <x:v>0.0023636122393606105</x:v>
      </x:c>
      <x:c r="N43" s="369" t="n">
        <x:f>IF($A43="","",ABS(2*A43/(90-A43)-1-'02_Constants'!$D$17)/'02_Constants'!$D$17)</x:f>
        <x:v>0.003739179506739733</x:v>
      </x:c>
      <x:c r="O43" s="369" t="n">
        <x:f>IF(A43="","",AVERAGE(C43:N43))</x:f>
        <x:v>0.0009130831677833465</x:v>
      </x:c>
      <x:c r="P43" s="369" t="n">
        <x:f>IF(A43="","",SUMPRODUCT(C43:N43,'03_12_Errors'!$P$4:$AA$4)/SUM('03_12_Errors'!$P$4:$AA$4))</x:f>
        <x:v>0.0011233615351164677</x:v>
      </x:c>
      <x:c r="Q43" s="369" t="n">
        <x:f>IF(A43="","",SQRT(SUMSQ(C43:N43)/12))</x:f>
        <x:v>0.001440193535206412</x:v>
      </x:c>
      <x:c r="R43" s="369" t="n">
        <x:f>IF(A43="","",MAX(C43:N43))</x:f>
        <x:v>0.003739179506739733</x:v>
      </x:c>
      <x:c r="S43" s="390" t="n">
        <x:f>IF(A43="","",COUNTIF(C43:N43,"&lt;="&amp;'00_Start'!$B$7))</x:f>
        <x:v>9</x:v>
      </x:c>
      <x:c r="T43" s="365" t="n">
        <x:f>IF(A43="","",0.5*TAN(RADIANS(A43)))</x:f>
        <x:v>0.6353524354604907</x:v>
      </x:c>
      <x:c r="U43" s="365" t="n">
        <x:f>IF(A43="","",0.5)</x:f>
        <x:v>0.5</x:v>
      </x:c>
      <x:c r="V43" s="365" t="n">
        <x:f>IF(A43="","",SQRT(2))</x:f>
        <x:v>1.4142135623730951</x:v>
      </x:c>
      <x:c r="W43" s="365" t="n">
        <x:f>IF(A43="","",SQRT(T43^2+U43^2))</x:f>
        <x:v>0.808500288958252</x:v>
      </x:c>
      <x:c r="X43" s="365" t="n">
        <x:f>IF(A43="","",SQRT(T43^2+2*U43^2))</x:f>
        <x:v>0.9506170192278155</x:v>
      </x:c>
      <x:c r="Y43" s="127"/>
      <x:c r="Z43" s="127"/>
      <x:c r="AA43" s="127"/>
      <x:c r="AB43" s="127"/>
      <x:c r="AC43" s="127"/>
      <x:c r="AD43" s="127"/>
      <x:c r="AE43" s="127"/>
      <x:c r="AF43" s="127"/>
      <x:c r="AG43" s="127"/>
      <x:c r="AH43" s="127"/>
      <x:c r="AI43" s="127"/>
      <x:c r="AJ43" s="127"/>
      <x:c r="AK43" s="127"/>
      <x:c r="AL43" s="127"/>
    </x:row>
    <x:row r="44">
      <x:c r="A44" s="367" t="n">
        <x:f>IF(A43="","",IF(A43+'00_Start'!$B$12&lt;='00_Start'!$B$11,A43+'00_Start'!$B$12,""))</x:f>
        <x:v>51.79900000000009</x:v>
      </x:c>
      <x:c r="B44" s="367" t="n">
        <x:f>IF(A44="","",2/TAN(RADIANS(A44)))</x:f>
        <x:v>1.5739013305949525</x:v>
      </x:c>
      <x:c r="C44" s="369" t="n">
        <x:f>IF($A44="","",ABS(2/T44-'02_Constants'!$D$6)/'02_Constants'!$D$6)</x:f>
        <x:v>0.001976706812392101</x:v>
      </x:c>
      <x:c r="D44" s="369" t="n">
        <x:f>IF($A44="","",ABS(2/(T44+2*V44)-'02_Constants'!$D$7)/'02_Constants'!$D$7)</x:f>
        <x:v>0.0003229005840457469</x:v>
      </x:c>
      <x:c r="E44" s="369" t="n">
        <x:f>IF($A44="","",ABS((T44+2*V44)/2-'02_Constants'!$D$8)/'02_Constants'!$D$8)</x:f>
        <x:v>0.00008967579416729537</x:v>
      </x:c>
      <x:c r="F44" s="369" t="n">
        <x:f>IF($A44="","",ABS((T44+2*V44)/V44-'02_Constants'!$D$9)/'02_Constants'!$D$9)</x:f>
        <x:v>0.00008967579416727266</x:v>
      </x:c>
      <x:c r="G44" s="369" t="n">
        <x:f>IF($A44="","",ABS(V44-'02_Constants'!$D$10)/'02_Constants'!$D$10)</x:f>
        <x:v>0</x:v>
      </x:c>
      <x:c r="H44" s="369" t="n">
        <x:f>IF($A44="","",ABS((W44+1)/W44-'02_Constants'!$D$11)/'02_Constants'!$D$11)</x:f>
        <x:v>0.0003471471418662831</x:v>
      </x:c>
      <x:c r="I44" s="369" t="n">
        <x:f>IF($A44="","",ABS((U44+2*V44)/(W44+1)-'02_Constants'!$D$12)/'02_Constants'!$D$12)</x:f>
        <x:v>0.0006192961005591977</x:v>
      </x:c>
      <x:c r="J44" s="369" t="n">
        <x:f>IF($A44="","",ABS(X44/U44-'02_Constants'!$D$13)/'02_Constants'!$D$13)</x:f>
        <x:v>0.0004790837146268874</x:v>
      </x:c>
      <x:c r="K44" s="369" t="n">
        <x:f>IF($A44="","",ABS(W44/(W44+U44)-'02_Constants'!$D$14)/'02_Constants'!$D$14)</x:f>
        <x:v>0.00023981525033126537</x:v>
      </x:c>
      <x:c r="L44" s="369" t="n">
        <x:f>IF($A44="","",ABS(W44/U44-'02_Constants'!$D$15)/'02_Constants'!$D$15)</x:f>
        <x:v>0.0006276009488772343</x:v>
      </x:c>
      <x:c r="M44" s="369" t="n">
        <x:f>IF($A44="","",ABS(2*A44/(90-A44)-'02_Constants'!$D$16)/'02_Constants'!$D$16)</x:f>
        <x:v>0.0023409244135169103</x:v>
      </x:c>
      <x:c r="N44" s="369" t="n">
        <x:f>IF($A44="","",ABS(2*A44/(90-A44)-1-'02_Constants'!$D$17)/'02_Constants'!$D$17)</x:f>
        <x:v>0.0037032878947254907</x:v>
      </x:c>
      <x:c r="O44" s="369" t="n">
        <x:f>IF(A44="","",AVERAGE(C44:N44))</x:f>
        <x:v>0.0009030095374396404</x:v>
      </x:c>
      <x:c r="P44" s="369" t="n">
        <x:f>IF(A44="","",SUMPRODUCT(C44:N44,'03_12_Errors'!$P$4:$AA$4)/SUM('03_12_Errors'!$P$4:$AA$4))</x:f>
        <x:v>0.0011115774365862924</x:v>
      </x:c>
      <x:c r="Q44" s="369" t="n">
        <x:f>IF(A44="","",SQRT(SUMSQ(C44:N44)/12))</x:f>
        <x:v>0.001426152772195498</x:v>
      </x:c>
      <x:c r="R44" s="369" t="n">
        <x:f>IF(A44="","",MAX(C44:N44))</x:f>
        <x:v>0.0037032878947254907</x:v>
      </x:c>
      <x:c r="S44" s="390" t="n">
        <x:f>IF(A44="","",COUNTIF(C44:N44,"&lt;="&amp;'00_Start'!$B$7))</x:f>
        <x:v>9</x:v>
      </x:c>
      <x:c r="T44" s="365" t="n">
        <x:f>IF(A44="","",0.5*TAN(RADIANS(A44)))</x:f>
        <x:v>0.6353638443281503</x:v>
      </x:c>
      <x:c r="U44" s="365" t="n">
        <x:f>IF(A44="","",0.5)</x:f>
        <x:v>0.5</x:v>
      </x:c>
      <x:c r="V44" s="365" t="n">
        <x:f>IF(A44="","",SQRT(2))</x:f>
        <x:v>1.4142135623730951</x:v>
      </x:c>
      <x:c r="W44" s="365" t="n">
        <x:f>IF(A44="","",SQRT(T44^2+U44^2))</x:f>
        <x:v>0.8085092545416199</x:v>
      </x:c>
      <x:c r="X44" s="365" t="n">
        <x:f>IF(A44="","",SQRT(T44^2+2*U44^2))</x:f>
        <x:v>0.9506246444730149</x:v>
      </x:c>
      <x:c r="Y44" s="127"/>
      <x:c r="Z44" s="127"/>
      <x:c r="AA44" s="127"/>
      <x:c r="AB44" s="127"/>
      <x:c r="AC44" s="127"/>
      <x:c r="AD44" s="127"/>
      <x:c r="AE44" s="127"/>
      <x:c r="AF44" s="127"/>
      <x:c r="AG44" s="127"/>
      <x:c r="AH44" s="127"/>
      <x:c r="AI44" s="127"/>
      <x:c r="AJ44" s="127"/>
      <x:c r="AK44" s="127"/>
      <x:c r="AL44" s="127"/>
    </x:row>
    <x:row r="45">
      <x:c r="A45" s="367" t="n">
        <x:f>IF(A44="","",IF(A44+'00_Start'!$B$12&lt;='00_Start'!$B$11,A44+'00_Start'!$B$12,""))</x:f>
        <x:v>51.799500000000094</x:v>
      </x:c>
      <x:c r="B45" s="367" t="n">
        <x:f>IF(A45="","",2/TAN(RADIANS(A45)))</x:f>
        <x:v>1.5738730688234375</x:v>
      </x:c>
      <x:c r="C45" s="369" t="n">
        <x:f>IF($A45="","",ABS(2/T45-'02_Constants'!$D$6)/'02_Constants'!$D$6)</x:f>
        <x:v>0.0019587148098434864</x:v>
      </x:c>
      <x:c r="D45" s="369" t="n">
        <x:f>IF($A45="","",ABS(2/(T45+2*V45)-'02_Constants'!$D$7)/'02_Constants'!$D$7)</x:f>
        <x:v>0.0003196057064925338</x:v>
      </x:c>
      <x:c r="E45" s="369" t="n">
        <x:f>IF($A45="","",ABS((T45+2*V45)/2-'02_Constants'!$D$8)/'02_Constants'!$D$8)</x:f>
        <x:v>0.00008638226471573897</x:v>
      </x:c>
      <x:c r="F45" s="369" t="n">
        <x:f>IF($A45="","",ABS((T45+2*V45)/V45-'02_Constants'!$D$9)/'02_Constants'!$D$9)</x:f>
        <x:v>0.00008638226471578465</x:v>
      </x:c>
      <x:c r="G45" s="369" t="n">
        <x:f>IF($A45="","",ABS(V45-'02_Constants'!$D$10)/'02_Constants'!$D$10)</x:f>
        <x:v>0</x:v>
      </x:c>
      <x:c r="H45" s="369" t="n">
        <x:f>IF($A45="","",ABS((W45+1)/W45-'02_Constants'!$D$11)/'02_Constants'!$D$11)</x:f>
        <x:v>0.0003410133171843774</x:v>
      </x:c>
      <x:c r="I45" s="369" t="n">
        <x:f>IF($A45="","",ABS((U45+2*V45)/(W45+1)-'02_Constants'!$D$12)/'02_Constants'!$D$12)</x:f>
        <x:v>0.000614335466933669</x:v>
      </x:c>
      <x:c r="J45" s="369" t="n">
        <x:f>IF($A45="","",ABS(X45/U45-'02_Constants'!$D$13)/'02_Constants'!$D$13)</x:f>
        <x:v>0.0004710660003023321</x:v>
      </x:c>
      <x:c r="K45" s="369" t="n">
        <x:f>IF($A45="","",ABS(W45/(W45+U45)-'02_Constants'!$D$14)/'02_Constants'!$D$14)</x:f>
        <x:v>0.00023557889637269323</x:v>
      </x:c>
      <x:c r="L45" s="369" t="n">
        <x:f>IF($A45="","",ABS(W45/U45-'02_Constants'!$D$15)/'02_Constants'!$D$15)</x:f>
        <x:v>0.0006165185564839308</x:v>
      </x:c>
      <x:c r="M45" s="369" t="n">
        <x:f>IF($A45="","",ABS(2*A45/(90-A45)-'02_Constants'!$D$16)/'02_Constants'!$D$16)</x:f>
        <x:v>0.0023182359937587754</x:v>
      </x:c>
      <x:c r="N45" s="369" t="n">
        <x:f>IF($A45="","",ABS(2*A45/(90-A45)-1-'02_Constants'!$D$17)/'02_Constants'!$D$17)</x:f>
        <x:v>0.003667395343152448</x:v>
      </x:c>
      <x:c r="O45" s="369" t="n">
        <x:f>IF(A45="","",AVERAGE(C45:N45))</x:f>
        <x:v>0.0008929357183296475</x:v>
      </x:c>
      <x:c r="P45" s="369" t="n">
        <x:f>IF(A45="","",SUMPRODUCT(C45:N45,'03_12_Errors'!$P$4:$AA$4)/SUM('03_12_Errors'!$P$4:$AA$4))</x:f>
        <x:v>0.0010997931579205754</x:v>
      </x:c>
      <x:c r="Q45" s="369" t="n">
        <x:f>IF(A45="","",SQRT(SUMSQ(C45:N45)/12))</x:f>
        <x:v>0.001412115313485068</x:v>
      </x:c>
      <x:c r="R45" s="369" t="n">
        <x:f>IF(A45="","",MAX(C45:N45))</x:f>
        <x:v>0.003667395343152448</x:v>
      </x:c>
      <x:c r="S45" s="390" t="n">
        <x:f>IF(A45="","",COUNTIF(C45:N45,"&lt;="&amp;'00_Start'!$B$7))</x:f>
        <x:v>9</x:v>
      </x:c>
      <x:c r="T45" s="365" t="n">
        <x:f>IF(A45="","",0.5*TAN(RADIANS(A45)))</x:f>
        <x:v>0.635375253448843</x:v>
      </x:c>
      <x:c r="U45" s="365" t="n">
        <x:f>IF(A45="","",0.5)</x:f>
        <x:v>0.5</x:v>
      </x:c>
      <x:c r="V45" s="365" t="n">
        <x:f>IF(A45="","",SQRT(2))</x:f>
        <x:v>1.4142135623730951</x:v>
      </x:c>
      <x:c r="W45" s="365" t="n">
        <x:f>IF(A45="","",SQRT(T45^2+U45^2))</x:f>
        <x:v>0.8085182203854044</x:v>
      </x:c>
      <x:c r="X45" s="365" t="n">
        <x:f>IF(A45="","",SQRT(T45^2+2*U45^2))</x:f>
        <x:v>0.9506322699630922</x:v>
      </x:c>
      <x:c r="Y45" s="127"/>
      <x:c r="Z45" s="127"/>
      <x:c r="AA45" s="127"/>
      <x:c r="AB45" s="127"/>
      <x:c r="AC45" s="127"/>
      <x:c r="AD45" s="127"/>
      <x:c r="AE45" s="127"/>
      <x:c r="AF45" s="127"/>
      <x:c r="AG45" s="127"/>
      <x:c r="AH45" s="127"/>
      <x:c r="AI45" s="127"/>
      <x:c r="AJ45" s="127"/>
      <x:c r="AK45" s="127"/>
      <x:c r="AL45" s="127"/>
    </x:row>
    <x:row r="46">
      <x:c r="A46" s="367" t="n">
        <x:f>IF(A45="","",IF(A45+'00_Start'!$B$12&lt;='00_Start'!$B$11,A45+'00_Start'!$B$12,""))</x:f>
        <x:v>51.8000000000001</x:v>
      </x:c>
      <x:c r="B46" s="367" t="n">
        <x:f>IF(A46="","",2/TAN(RADIANS(A46)))</x:f>
        <x:v>1.5738448074400857</x:v>
      </x:c>
      <x:c r="C46" s="369" t="n">
        <x:f>IF($A46="","",ABS(2/T46-'02_Constants'!$D$6)/'02_Constants'!$D$6)</x:f>
        <x:v>0.0019407230544072906</x:v>
      </x:c>
      <x:c r="D46" s="369" t="n">
        <x:f>IF($A46="","",ABS(2/(T46+2*V46)-'02_Constants'!$D$7)/'02_Constants'!$D$7)</x:f>
        <x:v>0.000316310777568472</x:v>
      </x:c>
      <x:c r="E46" s="369" t="n">
        <x:f>IF($A46="","",ABS((T46+2*V46)/2-'02_Constants'!$D$8)/'02_Constants'!$D$8)</x:f>
        <x:v>0.00008308866221698358</x:v>
      </x:c>
      <x:c r="F46" s="369" t="n">
        <x:f>IF($A46="","",ABS((T46+2*V46)/V46-'02_Constants'!$D$9)/'02_Constants'!$D$9)</x:f>
        <x:v>0.00008308866221707195</x:v>
      </x:c>
      <x:c r="G46" s="369" t="n">
        <x:f>IF($A46="","",ABS(V46-'02_Constants'!$D$10)/'02_Constants'!$D$10)</x:f>
        <x:v>0</x:v>
      </x:c>
      <x:c r="H46" s="369" t="n">
        <x:f>IF($A46="","",ABS((W46+1)/W46-'02_Constants'!$D$11)/'02_Constants'!$D$11)</x:f>
        <x:v>0.00033487945037942793</x:v>
      </x:c>
      <x:c r="I46" s="369" t="n">
        <x:f>IF($A46="","",ABS((U46+2*V46)/(W46+1)-'02_Constants'!$D$12)/'02_Constants'!$D$12)</x:f>
        <x:v>0.0006093747384060538</x:v>
      </x:c>
      <x:c r="J46" s="369" t="n">
        <x:f>IF($A46="","",ABS(X46/U46-'02_Constants'!$D$13)/'02_Constants'!$D$13)</x:f>
        <x:v>0.00046304802849408397</x:v>
      </x:c>
      <x:c r="K46" s="369" t="n">
        <x:f>IF($A46="","",ABS(W46/(W46+U46)-'02_Constants'!$D$14)/'02_Constants'!$D$14)</x:f>
        <x:v>0.00023134247741934735</x:v>
      </x:c>
      <x:c r="L46" s="369" t="n">
        <x:f>IF($A46="","",ABS(W46/U46-'02_Constants'!$D$15)/'02_Constants'!$D$15)</x:f>
        <x:v>0.0006054358421858219</x:v>
      </x:c>
      <x:c r="M46" s="369" t="n">
        <x:f>IF($A46="","",ABS(2*A46/(90-A46)-'02_Constants'!$D$16)/'02_Constants'!$D$16)</x:f>
        <x:v>0.002295546980063007</x:v>
      </x:c>
      <x:c r="N46" s="369" t="n">
        <x:f>IF($A46="","",ABS(2*A46/(90-A46)-1-'02_Constants'!$D$17)/'02_Constants'!$D$17)</x:f>
        <x:v>0.003631501851983904</x:v>
      </x:c>
      <x:c r="O46" s="369" t="n">
        <x:f>IF(A46="","",AVERAGE(C46:N46))</x:f>
        <x:v>0.000882861710445122</x:v>
      </x:c>
      <x:c r="P46" s="369" t="n">
        <x:f>IF(A46="","",SUMPRODUCT(C46:N46,'03_12_Errors'!$P$4:$AA$4)/SUM('03_12_Errors'!$P$4:$AA$4))</x:f>
        <x:v>0.0010880086991099877</x:v>
      </x:c>
      <x:c r="Q46" s="369" t="n">
        <x:f>IF(A46="","",SQRT(SUMSQ(C46:N46)/12))</x:f>
        <x:v>0.0013980812675407081</x:v>
      </x:c>
      <x:c r="R46" s="369" t="n">
        <x:f>IF(A46="","",MAX(C46:N46))</x:f>
        <x:v>0.003631501851983904</x:v>
      </x:c>
      <x:c r="S46" s="390" t="n">
        <x:f>IF(A46="","",COUNTIF(C46:N46,"&lt;="&amp;'00_Start'!$B$7))</x:f>
        <x:v>9</x:v>
      </x:c>
      <x:c r="T46" s="365" t="n">
        <x:f>IF(A46="","",0.5*TAN(RADIANS(A46)))</x:f>
        <x:v>0.6353866628225787</x:v>
      </x:c>
      <x:c r="U46" s="365" t="n">
        <x:f>IF(A46="","",0.5)</x:f>
        <x:v>0.5</x:v>
      </x:c>
      <x:c r="V46" s="365" t="n">
        <x:f>IF(A46="","",SQRT(2))</x:f>
        <x:v>1.4142135623730951</x:v>
      </x:c>
      <x:c r="W46" s="365" t="n">
        <x:f>IF(A46="","",SQRT(T46^2+U46^2))</x:f>
        <x:v>0.8085271864896154</x:v>
      </x:c>
      <x:c r="X46" s="365" t="n">
        <x:f>IF(A46="","",SQRT(T46^2+2*U46^2))</x:f>
        <x:v>0.9506398956980573</x:v>
      </x:c>
      <x:c r="Y46" s="127"/>
      <x:c r="Z46" s="127"/>
      <x:c r="AA46" s="127"/>
      <x:c r="AB46" s="127"/>
      <x:c r="AC46" s="127"/>
      <x:c r="AD46" s="127"/>
      <x:c r="AE46" s="127"/>
      <x:c r="AF46" s="127"/>
      <x:c r="AG46" s="127"/>
      <x:c r="AH46" s="127"/>
      <x:c r="AI46" s="127"/>
      <x:c r="AJ46" s="127"/>
      <x:c r="AK46" s="127"/>
      <x:c r="AL46" s="127"/>
    </x:row>
    <x:row r="47">
      <x:c r="A47" s="367" t="n">
        <x:f>IF(A46="","",IF(A46+'00_Start'!$B$12&lt;='00_Start'!$B$11,A46+'00_Start'!$B$12,""))</x:f>
        <x:v>51.8005000000001</x:v>
      </x:c>
      <x:c r="B47" s="367" t="n">
        <x:f>IF(A47="","",2/TAN(RADIANS(A47)))</x:f>
        <x:v>1.5738165464448832</x:v>
      </x:c>
      <x:c r="C47" s="369" t="n">
        <x:f>IF($A47="","",ABS(2/T47-'02_Constants'!$D$6)/'02_Constants'!$D$6)</x:f>
        <x:v>0.0019227315460746078</x:v>
      </x:c>
      <x:c r="D47" s="369" t="n">
        <x:f>IF($A47="","",ABS(2/(T47+2*V47)-'02_Constants'!$D$7)/'02_Constants'!$D$7)</x:f>
        <x:v>0.0003130157972712534</x:v>
      </x:c>
      <x:c r="E47" s="369" t="n">
        <x:f>IF($A47="","",ABS((T47+2*V47)/2-'02_Constants'!$D$8)/'02_Constants'!$D$8)</x:f>
        <x:v>0.00007979498666782428</x:v>
      </x:c>
      <x:c r="F47" s="369" t="n">
        <x:f>IF($A47="","",ABS((T47+2*V47)/V47-'02_Constants'!$D$9)/'02_Constants'!$D$9)</x:f>
        <x:v>0.00007979498666787117</x:v>
      </x:c>
      <x:c r="G47" s="369" t="n">
        <x:f>IF($A47="","",ABS(V47-'02_Constants'!$D$10)/'02_Constants'!$D$10)</x:f>
        <x:v>0</x:v>
      </x:c>
      <x:c r="H47" s="369" t="n">
        <x:f>IF($A47="","",ABS((W47+1)/W47-'02_Constants'!$D$11)/'02_Constants'!$D$11)</x:f>
        <x:v>0.000328745541451832</x:v>
      </x:c>
      <x:c r="I47" s="369" t="n">
        <x:f>IF($A47="","",ABS((U47+2*V47)/(W47+1)-'02_Constants'!$D$12)/'02_Constants'!$D$12)</x:f>
        <x:v>0.0006044139149745416</x:v>
      </x:c>
      <x:c r="J47" s="369" t="n">
        <x:f>IF($A47="","",ABS(X47/U47-'02_Constants'!$D$13)/'02_Constants'!$D$13)</x:f>
        <x:v>0.00045502979919117</x:v>
      </x:c>
      <x:c r="K47" s="369" t="n">
        <x:f>IF($A47="","",ABS(W47/(W47+U47)-'02_Constants'!$D$14)/'02_Constants'!$D$14)</x:f>
        <x:v>0.00022710599346997029</x:v>
      </x:c>
      <x:c r="L47" s="369" t="n">
        <x:f>IF($A47="","",ABS(W47/U47-'02_Constants'!$D$15)/'02_Constants'!$D$15)</x:f>
        <x:v>0.0005943528059702823</x:v>
      </x:c>
      <x:c r="M47" s="369" t="n">
        <x:f>IF($A47="","",ABS(2*A47/(90-A47)-'02_Constants'!$D$16)/'02_Constants'!$D$16)</x:f>
        <x:v>0.0022728573724062444</x:v>
      </x:c>
      <x:c r="N47" s="369" t="n">
        <x:f>IF($A47="","",ABS(2*A47/(90-A47)-1-'02_Constants'!$D$17)/'02_Constants'!$D$17)</x:f>
        <x:v>0.003595607421182901</x:v>
      </x:c>
      <x:c r="O47" s="369" t="n">
        <x:f>IF(A47="","",AVERAGE(C47:N47))</x:f>
        <x:v>0.0008727875137773748</x:v>
      </x:c>
      <x:c r="P47" s="369" t="n">
        <x:f>IF(A47="","",SUMPRODUCT(C47:N47,'03_12_Errors'!$P$4:$AA$4)/SUM('03_12_Errors'!$P$4:$AA$4))</x:f>
        <x:v>0.0010762240601446507</x:v>
      </x:c>
      <x:c r="Q47" s="369" t="n">
        <x:f>IF(A47="","",SQRT(SUMSQ(C47:N47)/12))</x:f>
        <x:v>0.001384050747203037</x:v>
      </x:c>
      <x:c r="R47" s="369" t="n">
        <x:f>IF(A47="","",MAX(C47:N47))</x:f>
        <x:v>0.003595607421182901</x:v>
      </x:c>
      <x:c r="S47" s="390" t="n">
        <x:f>IF(A47="","",COUNTIF(C47:N47,"&lt;="&amp;'00_Start'!$B$7))</x:f>
        <x:v>9</x:v>
      </x:c>
      <x:c r="T47" s="365" t="n">
        <x:f>IF(A47="","",0.5*TAN(RADIANS(A47)))</x:f>
        <x:v>0.635398072449368</x:v>
      </x:c>
      <x:c r="U47" s="365" t="n">
        <x:f>IF(A47="","",0.5)</x:f>
        <x:v>0.5</x:v>
      </x:c>
      <x:c r="V47" s="365" t="n">
        <x:f>IF(A47="","",SQRT(2))</x:f>
        <x:v>1.4142135623730951</x:v>
      </x:c>
      <x:c r="W47" s="365" t="n">
        <x:f>IF(A47="","",SQRT(T47^2+U47^2))</x:f>
        <x:v>0.8085361528542631</x:v>
      </x:c>
      <x:c r="X47" s="365" t="n">
        <x:f>IF(A47="","",SQRT(T47^2+2*U47^2))</x:f>
        <x:v>0.9506475216779204</x:v>
      </x:c>
      <x:c r="Y47" s="127"/>
      <x:c r="Z47" s="127"/>
      <x:c r="AA47" s="127"/>
      <x:c r="AB47" s="127"/>
      <x:c r="AC47" s="127"/>
      <x:c r="AD47" s="127"/>
      <x:c r="AE47" s="127"/>
      <x:c r="AF47" s="127"/>
      <x:c r="AG47" s="127"/>
      <x:c r="AH47" s="127"/>
      <x:c r="AI47" s="127"/>
      <x:c r="AJ47" s="127"/>
      <x:c r="AK47" s="127"/>
      <x:c r="AL47" s="127"/>
    </x:row>
    <x:row r="48">
      <x:c r="A48" s="367" t="n">
        <x:f>IF(A47="","",IF(A47+'00_Start'!$B$12&lt;='00_Start'!$B$11,A47+'00_Start'!$B$12,""))</x:f>
        <x:v>51.8010000000001</x:v>
      </x:c>
      <x:c r="B48" s="367" t="n">
        <x:f>IF(A48="","",2/TAN(RADIANS(A48)))</x:f>
        <x:v>1.5737882858378194</x:v>
      </x:c>
      <x:c r="C48" s="369" t="n">
        <x:f>IF($A48="","",ABS(2/T48-'02_Constants'!$D$6)/'02_Constants'!$D$6)</x:f>
        <x:v>0.0019047402848386525</x:v>
      </x:c>
      <x:c r="D48" s="369" t="n">
        <x:f>IF($A48="","",ABS(2/(T48+2*V48)-'02_Constants'!$D$7)/'02_Constants'!$D$7)</x:f>
        <x:v>0.00030972076559972395</x:v>
      </x:c>
      <x:c r="E48" s="369" t="n">
        <x:f>IF($A48="","",ABS((T48+2*V48)/2-'02_Constants'!$D$8)/'02_Constants'!$D$8)</x:f>
        <x:v>0.00007650123806569711</x:v>
      </x:c>
      <x:c r="F48" s="369" t="n">
        <x:f>IF($A48="","",ABS((T48+2*V48)/V48-'02_Constants'!$D$9)/'02_Constants'!$D$9)</x:f>
        <x:v>0.00007650123806582545</x:v>
      </x:c>
      <x:c r="G48" s="369" t="n">
        <x:f>IF($A48="","",ABS(V48-'02_Constants'!$D$10)/'02_Constants'!$D$10)</x:f>
        <x:v>0</x:v>
      </x:c>
      <x:c r="H48" s="369" t="n">
        <x:f>IF($A48="","",ABS((W48+1)/W48-'02_Constants'!$D$11)/'02_Constants'!$D$11)</x:f>
        <x:v>0.00032261159040218536</x:v>
      </x:c>
      <x:c r="I48" s="369" t="n">
        <x:f>IF($A48="","",ABS((U48+2*V48)/(W48+1)-'02_Constants'!$D$12)/'02_Constants'!$D$12)</x:f>
        <x:v>0.0005994529966373212</x:v>
      </x:c>
      <x:c r="J48" s="369" t="n">
        <x:f>IF($A48="","",ABS(X48/U48-'02_Constants'!$D$13)/'02_Constants'!$D$13)</x:f>
        <x:v>0.00044701131238343453</x:v>
      </x:c>
      <x:c r="K48" s="369" t="n">
        <x:f>IF($A48="","",ABS(W48/(W48+U48)-'02_Constants'!$D$14)/'02_Constants'!$D$14)</x:f>
        <x:v>0.00022286944452384349</x:v>
      </x:c>
      <x:c r="L48" s="369" t="n">
        <x:f>IF($A48="","",ABS(W48/U48-'02_Constants'!$D$15)/'02_Constants'!$D$15)</x:f>
        <x:v>0.0005832694478252356</x:v>
      </x:c>
      <x:c r="M48" s="369" t="n">
        <x:f>IF($A48="","",ABS(2*A48/(90-A48)-'02_Constants'!$D$16)/'02_Constants'!$D$16)</x:f>
        <x:v>0.0022501671707651242</x:v>
      </x:c>
      <x:c r="N48" s="369" t="n">
        <x:f>IF($A48="","",ABS(2*A48/(90-A48)-1-'02_Constants'!$D$17)/'02_Constants'!$D$17)</x:f>
        <x:v>0.0035597120507124807</x:v>
      </x:c>
      <x:c r="O48" s="369" t="n">
        <x:f>IF(A48="","",AVERAGE(C48:N48))</x:f>
        <x:v>0.0008627131283182937</x:v>
      </x:c>
      <x:c r="P48" s="369" t="n">
        <x:f>IF(A48="","",SUMPRODUCT(C48:N48,'03_12_Errors'!$P$4:$AA$4)/SUM('03_12_Errors'!$P$4:$AA$4))</x:f>
        <x:v>0.001064439241015397</x:v>
      </x:c>
      <x:c r="Q48" s="369" t="n">
        <x:f>IF(A48="","",SQRT(SUMSQ(C48:N48)/12))</x:f>
        <x:v>0.0013700238699096221</x:v>
      </x:c>
      <x:c r="R48" s="369" t="n">
        <x:f>IF(A48="","",MAX(C48:N48))</x:f>
        <x:v>0.0035597120507124807</x:v>
      </x:c>
      <x:c r="S48" s="390" t="n">
        <x:f>IF(A48="","",COUNTIF(C48:N48,"&lt;="&amp;'00_Start'!$B$7))</x:f>
        <x:v>9</x:v>
      </x:c>
      <x:c r="T48" s="365" t="n">
        <x:f>IF(A48="","",0.5*TAN(RADIANS(A48)))</x:f>
        <x:v>0.6354094823292205</x:v>
      </x:c>
      <x:c r="U48" s="365" t="n">
        <x:f>IF(A48="","",0.5)</x:f>
        <x:v>0.5</x:v>
      </x:c>
      <x:c r="V48" s="365" t="n">
        <x:f>IF(A48="","",SQRT(2))</x:f>
        <x:v>1.4142135623730951</x:v>
      </x:c>
      <x:c r="W48" s="365" t="n">
        <x:f>IF(A48="","",SQRT(T48^2+U48^2))</x:f>
        <x:v>0.8085451194793571</x:v>
      </x:c>
      <x:c r="X48" s="365" t="n">
        <x:f>IF(A48="","",SQRT(T48^2+2*U48^2))</x:f>
        <x:v>0.9506551479026913</x:v>
      </x:c>
      <x:c r="Y48" s="127"/>
      <x:c r="Z48" s="127"/>
      <x:c r="AA48" s="127"/>
      <x:c r="AB48" s="127"/>
      <x:c r="AC48" s="127"/>
      <x:c r="AD48" s="127"/>
      <x:c r="AE48" s="127"/>
      <x:c r="AF48" s="127"/>
      <x:c r="AG48" s="127"/>
      <x:c r="AH48" s="127"/>
      <x:c r="AI48" s="127"/>
      <x:c r="AJ48" s="127"/>
      <x:c r="AK48" s="127"/>
      <x:c r="AL48" s="127"/>
    </x:row>
    <x:row r="49">
      <x:c r="A49" s="367" t="n">
        <x:f>IF(A48="","",IF(A48+'00_Start'!$B$12&lt;='00_Start'!$B$11,A48+'00_Start'!$B$12,""))</x:f>
        <x:v>51.801500000000104</x:v>
      </x:c>
      <x:c r="B49" s="367" t="n">
        <x:f>IF(A49="","",2/TAN(RADIANS(A49)))</x:f>
        <x:v>1.5737600256188804</x:v>
      </x:c>
      <x:c r="C49" s="369" t="n">
        <x:f>IF($A49="","",ABS(2/T49-'02_Constants'!$D$6)/'02_Constants'!$D$6)</x:f>
        <x:v>0.001886749270690661</x:v>
      </x:c>
      <x:c r="D49" s="369" t="n">
        <x:f>IF($A49="","",ABS(2/(T49+2*V49)-'02_Constants'!$D$7)/'02_Constants'!$D$7)</x:f>
        <x:v>0.0003064256825521526</x:v>
      </x:c>
      <x:c r="E49" s="369" t="n">
        <x:f>IF($A49="","",ABS((T49+2*V49)/2-'02_Constants'!$D$8)/'02_Constants'!$D$8)</x:f>
        <x:v>0.00007320741640752534</x:v>
      </x:c>
      <x:c r="F49" s="369" t="n">
        <x:f>IF($A49="","",ABS((T49+2*V49)/V49-'02_Constants'!$D$9)/'02_Constants'!$D$9)</x:f>
        <x:v>0.0000732074164074901</x:v>
      </x:c>
      <x:c r="G49" s="369" t="n">
        <x:f>IF($A49="","",ABS(V49-'02_Constants'!$D$10)/'02_Constants'!$D$10)</x:f>
        <x:v>0</x:v>
      </x:c>
      <x:c r="H49" s="369" t="n">
        <x:f>IF($A49="","",ABS((W49+1)/W49-'02_Constants'!$D$11)/'02_Constants'!$D$11)</x:f>
        <x:v>0.00031647759723088526</x:v>
      </x:c>
      <x:c r="I49" s="369" t="n">
        <x:f>IF($A49="","",ABS((U49+2*V49)/(W49+1)-'02_Constants'!$D$12)/'02_Constants'!$D$12)</x:f>
        <x:v>0.0005944919833919783</x:v>
      </x:c>
      <x:c r="J49" s="369" t="n">
        <x:f>IF($A49="","",ABS(X49/U49-'02_Constants'!$D$13)/'02_Constants'!$D$13)</x:f>
        <x:v>0.00043899256806013813</x:v>
      </x:c>
      <x:c r="K49" s="369" t="n">
        <x:f>IF($A49="","",ABS(W49/(W49+U49)-'02_Constants'!$D$14)/'02_Constants'!$D$14)</x:f>
        <x:v>0.00021863283058006874</x:v>
      </x:c>
      <x:c r="L49" s="369" t="n">
        <x:f>IF($A49="","",ABS(W49/U49-'02_Constants'!$D$15)/'02_Constants'!$D$15)</x:f>
        <x:v>0.0005721857677379195</x:v>
      </x:c>
      <x:c r="M49" s="369" t="n">
        <x:f>IF($A49="","",ABS(2*A49/(90-A49)-'02_Constants'!$D$16)/'02_Constants'!$D$16)</x:f>
        <x:v>0.0022274763751162848</x:v>
      </x:c>
      <x:c r="N49" s="369" t="n">
        <x:f>IF($A49="","",ABS(2*A49/(90-A49)-1-'02_Constants'!$D$17)/'02_Constants'!$D$17)</x:f>
        <x:v>0.0035238157405356844</x:v>
      </x:c>
      <x:c r="O49" s="369" t="n">
        <x:f>IF(A49="","",AVERAGE(C49:N49))</x:f>
        <x:v>0.0008526385540592324</x:v>
      </x:c>
      <x:c r="P49" s="369" t="n">
        <x:f>IF(A49="","",SUMPRODUCT(C49:N49,'03_12_Errors'!$P$4:$AA$4)/SUM('03_12_Errors'!$P$4:$AA$4))</x:f>
        <x:v>0.0010526542417123516</x:v>
      </x:c>
      <x:c r="Q49" s="369" t="n">
        <x:f>IF(A49="","",SQRT(SUMSQ(C49:N49)/12))</x:f>
        <x:v>0.001356000757929033</x:v>
      </x:c>
      <x:c r="R49" s="369" t="n">
        <x:f>IF(A49="","",MAX(C49:N49))</x:f>
        <x:v>0.0035238157405356844</x:v>
      </x:c>
      <x:c r="S49" s="390" t="n">
        <x:f>IF(A49="","",COUNTIF(C49:N49,"&lt;="&amp;'00_Start'!$B$7))</x:f>
        <x:v>9</x:v>
      </x:c>
      <x:c r="T49" s="365" t="n">
        <x:f>IF(A49="","",0.5*TAN(RADIANS(A49)))</x:f>
        <x:v>0.6354208924621468</x:v>
      </x:c>
      <x:c r="U49" s="365" t="n">
        <x:f>IF(A49="","",0.5)</x:f>
        <x:v>0.5</x:v>
      </x:c>
      <x:c r="V49" s="365" t="n">
        <x:f>IF(A49="","",SQRT(2))</x:f>
        <x:v>1.4142135623730951</x:v>
      </x:c>
      <x:c r="W49" s="365" t="n">
        <x:f>IF(A49="","",SQRT(T49^2+U49^2))</x:f>
        <x:v>0.808554086364908</x:v>
      </x:c>
      <x:c r="X49" s="365" t="n">
        <x:f>IF(A49="","",SQRT(T49^2+2*U49^2))</x:f>
        <x:v>0.9506627743723802</x:v>
      </x:c>
      <x:c r="Y49" s="127"/>
      <x:c r="Z49" s="127"/>
      <x:c r="AA49" s="127"/>
      <x:c r="AB49" s="127"/>
      <x:c r="AC49" s="127"/>
      <x:c r="AD49" s="127"/>
      <x:c r="AE49" s="127"/>
      <x:c r="AF49" s="127"/>
      <x:c r="AG49" s="127"/>
      <x:c r="AH49" s="127"/>
      <x:c r="AI49" s="127"/>
      <x:c r="AJ49" s="127"/>
      <x:c r="AK49" s="127"/>
      <x:c r="AL49" s="127"/>
    </x:row>
    <x:row r="50">
      <x:c r="A50" s="367" t="n">
        <x:f>IF(A49="","",IF(A49+'00_Start'!$B$12&lt;='00_Start'!$B$11,A49+'00_Start'!$B$12,""))</x:f>
        <x:v>51.802000000000106</x:v>
      </x:c>
      <x:c r="B50" s="367" t="n">
        <x:f>IF(A50="","",2/TAN(RADIANS(A50)))</x:f>
        <x:v>1.5737317657880547</x:v>
      </x:c>
      <x:c r="C50" s="369" t="n">
        <x:f>IF($A50="","",ABS(2/T50-'02_Constants'!$D$6)/'02_Constants'!$D$6)</x:f>
        <x:v>0.0018687585036232823</x:v>
      </x:c>
      <x:c r="D50" s="369" t="n">
        <x:f>IF($A50="","",ABS(2/(T50+2*V50)-'02_Constants'!$D$7)/'02_Constants'!$D$7)</x:f>
        <x:v>0.00030313054812642357</x:v>
      </x:c>
      <x:c r="E50" s="369" t="n">
        <x:f>IF($A50="","",ABS((T50+2*V50)/2-'02_Constants'!$D$8)/'02_Constants'!$D$8)</x:f>
        <x:v>0.00006991352169023224</x:v>
      </x:c>
      <x:c r="F50" s="369" t="n">
        <x:f>IF($A50="","",ABS((T50+2*V50)/V50-'02_Constants'!$D$9)/'02_Constants'!$D$9)</x:f>
        <x:v>0.00006991352169032694</x:v>
      </x:c>
      <x:c r="G50" s="369" t="n">
        <x:f>IF($A50="","",ABS(V50-'02_Constants'!$D$10)/'02_Constants'!$D$10)</x:f>
        <x:v>0</x:v>
      </x:c>
      <x:c r="H50" s="369" t="n">
        <x:f>IF($A50="","",ABS((W50+1)/W50-'02_Constants'!$D$11)/'02_Constants'!$D$11)</x:f>
        <x:v>0.0003103435619381303</x:v>
      </x:c>
      <x:c r="I50" s="369" t="n">
        <x:f>IF($A50="","",ABS((U50+2*V50)/(W50+1)-'02_Constants'!$D$12)/'02_Constants'!$D$12)</x:f>
        <x:v>0.0005895308752368227</x:v>
      </x:c>
      <x:c r="J50" s="369" t="n">
        <x:f>IF($A50="","",ABS(X50/U50-'02_Constants'!$D$13)/'02_Constants'!$D$13)</x:f>
        <x:v>0.0004309735662107748</x:v>
      </x:c>
      <x:c r="K50" s="369" t="n">
        <x:f>IF($A50="","",ABS(W50/(W50+U50)-'02_Constants'!$D$14)/'02_Constants'!$D$14)</x:f>
        <x:v>0.00021439615163774788</x:v>
      </x:c>
      <x:c r="L50" s="369" t="n">
        <x:f>IF($A50="","",ABS(W50/U50-'02_Constants'!$D$15)/'02_Constants'!$D$15)</x:f>
        <x:v>0.0005611017656959829</x:v>
      </x:c>
      <x:c r="M50" s="369" t="n">
        <x:f>IF($A50="","",ABS(2*A50/(90-A50)-'02_Constants'!$D$16)/'02_Constants'!$D$16)</x:f>
        <x:v>0.002204784985436527</x:v>
      </x:c>
      <x:c r="N50" s="369" t="n">
        <x:f>IF($A50="","",ABS(2*A50/(90-A50)-1-'02_Constants'!$D$17)/'02_Constants'!$D$17)</x:f>
        <x:v>0.0034879184906158127</x:v>
      </x:c>
      <x:c r="O50" s="369" t="n">
        <x:f>IF(A50="","",AVERAGE(C50:N50))</x:f>
        <x:v>0.0008425637909918386</x:v>
      </x:c>
      <x:c r="P50" s="369" t="n">
        <x:f>IF(A50="","",SUMPRODUCT(C50:N50,'03_12_Errors'!$P$4:$AA$4)/SUM('03_12_Errors'!$P$4:$AA$4))</x:f>
        <x:v>0.001040869062226111</x:v>
      </x:c>
      <x:c r="Q50" s="369" t="n">
        <x:f>IF(A50="","",SQRT(SUMSQ(C50:N50)/12))</x:f>
        <x:v>0.001341981538610556</x:v>
      </x:c>
      <x:c r="R50" s="369" t="n">
        <x:f>IF(A50="","",MAX(C50:N50))</x:f>
        <x:v>0.0034879184906158127</x:v>
      </x:c>
      <x:c r="S50" s="390" t="n">
        <x:f>IF(A50="","",COUNTIF(C50:N50,"&lt;="&amp;'00_Start'!$B$7))</x:f>
        <x:v>9</x:v>
      </x:c>
      <x:c r="T50" s="365" t="n">
        <x:f>IF(A50="","",0.5*TAN(RADIANS(A50)))</x:f>
        <x:v>0.635432302848157</x:v>
      </x:c>
      <x:c r="U50" s="365" t="n">
        <x:f>IF(A50="","",0.5)</x:f>
        <x:v>0.5</x:v>
      </x:c>
      <x:c r="V50" s="365" t="n">
        <x:f>IF(A50="","",SQRT(2))</x:f>
        <x:v>1.4142135623730951</x:v>
      </x:c>
      <x:c r="W50" s="365" t="n">
        <x:f>IF(A50="","",SQRT(T50^2+U50^2))</x:f>
        <x:v>0.8085630535109256</x:v>
      </x:c>
      <x:c r="X50" s="365" t="n">
        <x:f>IF(A50="","",SQRT(T50^2+2*U50^2))</x:f>
        <x:v>0.9506704010869971</x:v>
      </x:c>
      <x:c r="Y50" s="127"/>
      <x:c r="Z50" s="127"/>
      <x:c r="AA50" s="127"/>
      <x:c r="AB50" s="127"/>
      <x:c r="AC50" s="127"/>
      <x:c r="AD50" s="127"/>
      <x:c r="AE50" s="127"/>
      <x:c r="AF50" s="127"/>
      <x:c r="AG50" s="127"/>
      <x:c r="AH50" s="127"/>
      <x:c r="AI50" s="127"/>
      <x:c r="AJ50" s="127"/>
      <x:c r="AK50" s="127"/>
      <x:c r="AL50" s="127"/>
    </x:row>
    <x:row r="51">
      <x:c r="A51" s="367" t="n">
        <x:f>IF(A50="","",IF(A50+'00_Start'!$B$12&lt;='00_Start'!$B$11,A50+'00_Start'!$B$12,""))</x:f>
        <x:v>51.80250000000011</x:v>
      </x:c>
      <x:c r="B51" s="367" t="n">
        <x:f>IF(A51="","",2/TAN(RADIANS(A51)))</x:f>
        <x:v>1.5737035063453302</x:v>
      </x:c>
      <x:c r="C51" s="369" t="n">
        <x:f>IF($A51="","",ABS(2/T51-'02_Constants'!$D$6)/'02_Constants'!$D$6)</x:f>
        <x:v>0.001850767983628742</x:v>
      </x:c>
      <x:c r="D51" s="369" t="n">
        <x:f>IF($A51="","",ABS(2/(T51+2*V51)-'02_Constants'!$D$7)/'02_Constants'!$D$7)</x:f>
        <x:v>0.0002998353623211905</x:v>
      </x:c>
      <x:c r="E51" s="369" t="n">
        <x:f>IF($A51="","",ABS((T51+2*V51)/2-'02_Constants'!$D$8)/'02_Constants'!$D$8)</x:f>
        <x:v>0.00006661955391099744</x:v>
      </x:c>
      <x:c r="F51" s="369" t="n">
        <x:f>IF($A51="","",ABS((T51+2*V51)/V51-'02_Constants'!$D$9)/'02_Constants'!$D$9)</x:f>
        <x:v>0.00006661955391107259</x:v>
      </x:c>
      <x:c r="G51" s="369" t="n">
        <x:f>IF($A51="","",ABS(V51-'02_Constants'!$D$10)/'02_Constants'!$D$10)</x:f>
        <x:v>0</x:v>
      </x:c>
      <x:c r="H51" s="369" t="n">
        <x:f>IF($A51="","",ABS((W51+1)/W51-'02_Constants'!$D$11)/'02_Constants'!$D$11)</x:f>
        <x:v>0.0003042094845249134</x:v>
      </x:c>
      <x:c r="I51" s="369" t="n">
        <x:f>IF($A51="","",ABS((U51+2*V51)/(W51+1)-'02_Constants'!$D$12)/'02_Constants'!$D$12)</x:f>
        <x:v>0.0005845696721698022</x:v>
      </x:c>
      <x:c r="J51" s="369" t="n">
        <x:f>IF($A51="","",ABS(X51/U51-'02_Constants'!$D$13)/'02_Constants'!$D$13)</x:f>
        <x:v>0.0004229543068249554</x:v>
      </x:c>
      <x:c r="K51" s="369" t="n">
        <x:f>IF($A51="","",ABS(W51/(W51+U51)-'02_Constants'!$D$14)/'02_Constants'!$D$14)</x:f>
        <x:v>0.00021015940769616233</x:v>
      </x:c>
      <x:c r="L51" s="369" t="n">
        <x:f>IF($A51="","",ABS(W51/U51-'02_Constants'!$D$15)/'02_Constants'!$D$15)</x:f>
        <x:v>0.0005500174416873496</x:v>
      </x:c>
      <x:c r="M51" s="369" t="n">
        <x:f>IF($A51="","",ABS(2*A51/(90-A51)-'02_Constants'!$D$16)/'02_Constants'!$D$16)</x:f>
        <x:v>0.0021820930017024892</x:v>
      </x:c>
      <x:c r="N51" s="369" t="n">
        <x:f>IF($A51="","",ABS(2*A51/(90-A51)-1-'02_Constants'!$D$17)/'02_Constants'!$D$17)</x:f>
        <x:v>0.0034520203009159077</x:v>
      </x:c>
      <x:c r="O51" s="369" t="n">
        <x:f>IF(A51="","",AVERAGE(C51:N51))</x:f>
        <x:v>0.0008324888391077985</x:v>
      </x:c>
      <x:c r="P51" s="369" t="n">
        <x:f>IF(A51="","",SUMPRODUCT(C51:N51,'03_12_Errors'!$P$4:$AA$4)/SUM('03_12_Errors'!$P$4:$AA$4))</x:f>
        <x:v>0.0010290837025472102</x:v>
      </x:c>
      <x:c r="Q51" s="369" t="n">
        <x:f>IF(A51="","",SQRT(SUMSQ(C51:N51)/12))</x:f>
        <x:v>0.0013279663446483852</x:v>
      </x:c>
      <x:c r="R51" s="369" t="n">
        <x:f>IF(A51="","",MAX(C51:N51))</x:f>
        <x:v>0.0034520203009159077</x:v>
      </x:c>
      <x:c r="S51" s="390" t="n">
        <x:f>IF(A51="","",COUNTIF(C51:N51,"&lt;="&amp;'00_Start'!$B$7))</x:f>
        <x:v>9</x:v>
      </x:c>
      <x:c r="T51" s="365" t="n">
        <x:f>IF(A51="","",0.5*TAN(RADIANS(A51)))</x:f>
        <x:v>0.635443713487261</x:v>
      </x:c>
      <x:c r="U51" s="365" t="n">
        <x:f>IF(A51="","",0.5)</x:f>
        <x:v>0.5</x:v>
      </x:c>
      <x:c r="V51" s="365" t="n">
        <x:f>IF(A51="","",SQRT(2))</x:f>
        <x:v>1.4142135623730951</x:v>
      </x:c>
      <x:c r="W51" s="365" t="n">
        <x:f>IF(A51="","",SQRT(T51^2+U51^2))</x:f>
        <x:v>0.8085720209174198</x:v>
      </x:c>
      <x:c r="X51" s="365" t="n">
        <x:f>IF(A51="","",SQRT(T51^2+2*U51^2))</x:f>
        <x:v>0.9506780280465518</x:v>
      </x:c>
      <x:c r="Y51" s="127"/>
      <x:c r="Z51" s="127"/>
      <x:c r="AA51" s="127"/>
      <x:c r="AB51" s="127"/>
      <x:c r="AC51" s="127"/>
      <x:c r="AD51" s="127"/>
      <x:c r="AE51" s="127"/>
      <x:c r="AF51" s="127"/>
      <x:c r="AG51" s="127"/>
      <x:c r="AH51" s="127"/>
      <x:c r="AI51" s="127"/>
      <x:c r="AJ51" s="127"/>
      <x:c r="AK51" s="127"/>
      <x:c r="AL51" s="127"/>
    </x:row>
    <x:row r="52">
      <x:c r="A52" s="367" t="n">
        <x:f>IF(A51="","",IF(A51+'00_Start'!$B$12&lt;='00_Start'!$B$11,A51+'00_Start'!$B$12,""))</x:f>
        <x:v>51.80300000000011</x:v>
      </x:c>
      <x:c r="B52" s="367" t="n">
        <x:f>IF(A52="","",2/TAN(RADIANS(A52)))</x:f>
        <x:v>1.573675247290694</x:v>
      </x:c>
      <x:c r="C52" s="369" t="n">
        <x:f>IF($A52="","",ABS(2/T52-'02_Constants'!$D$6)/'02_Constants'!$D$6)</x:f>
        <x:v>0.0018327777106989824</x:v>
      </x:c>
      <x:c r="D52" s="369" t="n">
        <x:f>IF($A52="","",ABS(2/(T52+2*V52)-'02_Constants'!$D$7)/'02_Constants'!$D$7)</x:f>
        <x:v>0.00029654012513472233</x:v>
      </x:c>
      <x:c r="E52" s="369" t="n">
        <x:f>IF($A52="","",ABS((T52+2*V52)/2-'02_Constants'!$D$8)/'02_Constants'!$D$8)</x:f>
        <x:v>0.00006332551306700061</x:v>
      </x:c>
      <x:c r="F52" s="369" t="n">
        <x:f>IF($A52="","",ABS((T52+2*V52)/V52-'02_Constants'!$D$9)/'02_Constants'!$D$9)</x:f>
        <x:v>0.00006332551306700757</x:v>
      </x:c>
      <x:c r="G52" s="369" t="n">
        <x:f>IF($A52="","",ABS(V52-'02_Constants'!$D$10)/'02_Constants'!$D$10)</x:f>
        <x:v>0</x:v>
      </x:c>
      <x:c r="H52" s="369" t="n">
        <x:f>IF($A52="","",ABS((W52+1)/W52-'02_Constants'!$D$11)/'02_Constants'!$D$11)</x:f>
        <x:v>0.0002980753649914333</x:v>
      </x:c>
      <x:c r="I52" s="369" t="n">
        <x:f>IF($A52="","",ABS((U52+2*V52)/(W52+1)-'02_Constants'!$D$12)/'02_Constants'!$D$12)</x:f>
        <x:v>0.0005796083741888644</x:v>
      </x:c>
      <x:c r="J52" s="369" t="n">
        <x:f>IF($A52="","",ABS(X52/U52-'02_Constants'!$D$13)/'02_Constants'!$D$13)</x:f>
        <x:v>0.0004149347898920571</x:v>
      </x:c>
      <x:c r="K52" s="369" t="n">
        <x:f>IF($A52="","",ABS(W52/(W52+U52)-'02_Constants'!$D$14)/'02_Constants'!$D$14)</x:f>
        <x:v>0.0002059225987542343</x:v>
      </x:c>
      <x:c r="L52" s="369" t="n">
        <x:f>IF($A52="","",ABS(W52/U52-'02_Constants'!$D$15)/'02_Constants'!$D$15)</x:f>
        <x:v>0.0005389327956992573</x:v>
      </x:c>
      <x:c r="M52" s="369" t="n">
        <x:f>IF($A52="","",ABS(2*A52/(90-A52)-'02_Constants'!$D$16)/'02_Constants'!$D$16)</x:f>
        <x:v>0.002159400423890646</x:v>
      </x:c>
      <x:c r="N52" s="369" t="n">
        <x:f>IF($A52="","",ABS(2*A52/(90-A52)-1-'02_Constants'!$D$17)/'02_Constants'!$D$17)</x:f>
        <x:v>0.003416121171398752</x:v>
      </x:c>
      <x:c r="O52" s="369" t="n">
        <x:f>IF(A52="","",AVERAGE(C52:N52))</x:f>
        <x:v>0.0008224136983985799</x:v>
      </x:c>
      <x:c r="P52" s="369" t="n">
        <x:f>IF(A52="","",SUMPRODUCT(C52:N52,'03_12_Errors'!$P$4:$AA$4)/SUM('03_12_Errors'!$P$4:$AA$4))</x:f>
        <x:v>0.0010172981626659704</x:v>
      </x:c>
      <x:c r="Q52" s="369" t="n">
        <x:f>IF(A52="","",SQRT(SUMSQ(C52:N52)/12))</x:f>
        <x:v>0.0013139553143626916</x:v>
      </x:c>
      <x:c r="R52" s="369" t="n">
        <x:f>IF(A52="","",MAX(C52:N52))</x:f>
        <x:v>0.003416121171398752</x:v>
      </x:c>
      <x:c r="S52" s="390" t="n">
        <x:f>IF(A52="","",COUNTIF(C52:N52,"&lt;="&amp;'00_Start'!$B$7))</x:f>
        <x:v>9</x:v>
      </x:c>
      <x:c r="T52" s="365" t="n">
        <x:f>IF(A52="","",0.5*TAN(RADIANS(A52)))</x:f>
        <x:v>0.6354551243794693</x:v>
      </x:c>
      <x:c r="U52" s="365" t="n">
        <x:f>IF(A52="","",0.5)</x:f>
        <x:v>0.5</x:v>
      </x:c>
      <x:c r="V52" s="365" t="n">
        <x:f>IF(A52="","",SQRT(2))</x:f>
        <x:v>1.4142135623730951</x:v>
      </x:c>
      <x:c r="W52" s="365" t="n">
        <x:f>IF(A52="","",SQRT(T52^2+U52^2))</x:f>
        <x:v>0.8085809885844008</x:v>
      </x:c>
      <x:c r="X52" s="365" t="n">
        <x:f>IF(A52="","",SQRT(T52^2+2*U52^2))</x:f>
        <x:v>0.9506856552510544</x:v>
      </x:c>
      <x:c r="Y52" s="127"/>
      <x:c r="Z52" s="127"/>
      <x:c r="AA52" s="127"/>
      <x:c r="AB52" s="127"/>
      <x:c r="AC52" s="127"/>
      <x:c r="AD52" s="127"/>
      <x:c r="AE52" s="127"/>
      <x:c r="AF52" s="127"/>
      <x:c r="AG52" s="127"/>
      <x:c r="AH52" s="127"/>
      <x:c r="AI52" s="127"/>
      <x:c r="AJ52" s="127"/>
      <x:c r="AK52" s="127"/>
      <x:c r="AL52" s="127"/>
    </x:row>
    <x:row r="53">
      <x:c r="A53" s="367" t="n">
        <x:f>IF(A52="","",IF(A52+'00_Start'!$B$12&lt;='00_Start'!$B$11,A52+'00_Start'!$B$12,""))</x:f>
        <x:v>51.80350000000011</x:v>
      </x:c>
      <x:c r="B53" s="367" t="n">
        <x:f>IF(A53="","",2/TAN(RADIANS(A53)))</x:f>
        <x:v>1.5736469886241344</x:v>
      </x:c>
      <x:c r="C53" s="369" t="n">
        <x:f>IF($A53="","",ABS(2/T53-'02_Constants'!$D$6)/'02_Constants'!$D$6)</x:f>
        <x:v>0.0018147876848263705</x:v>
      </x:c>
      <x:c r="D53" s="369" t="n">
        <x:f>IF($A53="","",ABS(2/(T53+2*V53)-'02_Constants'!$D$7)/'02_Constants'!$D$7)</x:f>
        <x:v>0.00029324483656509564</x:v>
      </x:c>
      <x:c r="E53" s="369" t="n">
        <x:f>IF($A53="","",ABS((T53+2*V53)/2-'02_Constants'!$D$8)/'02_Constants'!$D$8)</x:f>
        <x:v>0.000060031399155165</x:v>
      </x:c>
      <x:c r="F53" s="369" t="n">
        <x:f>IF($A53="","",ABS((T53+2*V53)/V53-'02_Constants'!$D$9)/'02_Constants'!$D$9)</x:f>
        <x:v>0.00006003139915523112</x:v>
      </x:c>
      <x:c r="G53" s="369" t="n">
        <x:f>IF($A53="","",ABS(V53-'02_Constants'!$D$10)/'02_Constants'!$D$10)</x:f>
        <x:v>0</x:v>
      </x:c>
      <x:c r="H53" s="369" t="n">
        <x:f>IF($A53="","",ABS((W53+1)/W53-'02_Constants'!$D$11)/'02_Constants'!$D$11)</x:f>
        <x:v>0.0002919412033382857</x:v>
      </x:c>
      <x:c r="I53" s="369" t="n">
        <x:f>IF($A53="","",ABS((U53+2*V53)/(W53+1)-'02_Constants'!$D$12)/'02_Constants'!$D$12)</x:f>
        <x:v>0.0005746469812919571</x:v>
      </x:c>
      <x:c r="J53" s="369" t="n">
        <x:f>IF($A53="","",ABS(X53/U53-'02_Constants'!$D$13)/'02_Constants'!$D$13)</x:f>
        <x:v>0.00040691501540157405</x:v>
      </x:c>
      <x:c r="K53" s="369" t="n">
        <x:f>IF($A53="","",ABS(W53/(W53+U53)-'02_Constants'!$D$14)/'02_Constants'!$D$14)</x:f>
        <x:v>0.0002016857248112452</x:v>
      </x:c>
      <x:c r="L53" s="369" t="n">
        <x:f>IF($A53="","",ABS(W53/U53-'02_Constants'!$D$15)/'02_Constants'!$D$15)</x:f>
        <x:v>0.0005278478277196294</x:v>
      </x:c>
      <x:c r="M53" s="369" t="n">
        <x:f>IF($A53="","",ABS(2*A53/(90-A53)-'02_Constants'!$D$16)/'02_Constants'!$D$16)</x:f>
        <x:v>0.0021367072519779618</x:v>
      </x:c>
      <x:c r="N53" s="369" t="n">
        <x:f>IF($A53="","",ABS(2*A53/(90-A53)-1-'02_Constants'!$D$17)/'02_Constants'!$D$17)</x:f>
        <x:v>0.003380221102027904</x:v>
      </x:c>
      <x:c r="O53" s="369" t="n">
        <x:f>IF(A53="","",AVERAGE(C53:N53))</x:f>
        <x:v>0.0008123383688558683</x:v>
      </x:c>
      <x:c r="P53" s="369" t="n">
        <x:f>IF(A53="","",SUMPRODUCT(C53:N53,'03_12_Errors'!$P$4:$AA$4)/SUM('03_12_Errors'!$P$4:$AA$4))</x:f>
        <x:v>0.0010055124425729534</x:v>
      </x:c>
      <x:c r="Q53" s="369" t="n">
        <x:f>IF(A53="","",SQRT(SUMSQ(C53:N53)/12))</x:f>
        <x:v>0.0012999485919990375</x:v>
      </x:c>
      <x:c r="R53" s="369" t="n">
        <x:f>IF(A53="","",MAX(C53:N53))</x:f>
        <x:v>0.003380221102027904</x:v>
      </x:c>
      <x:c r="S53" s="390" t="n">
        <x:f>IF(A53="","",COUNTIF(C53:N53,"&lt;="&amp;'00_Start'!$B$7))</x:f>
        <x:v>9</x:v>
      </x:c>
      <x:c r="T53" s="365" t="n">
        <x:f>IF(A53="","",0.5*TAN(RADIANS(A53)))</x:f>
        <x:v>0.6354665355247917</x:v>
      </x:c>
      <x:c r="U53" s="365" t="n">
        <x:f>IF(A53="","",0.5)</x:f>
        <x:v>0.5</x:v>
      </x:c>
      <x:c r="V53" s="365" t="n">
        <x:f>IF(A53="","",SQRT(2))</x:f>
        <x:v>1.4142135623730951</x:v>
      </x:c>
      <x:c r="W53" s="365" t="n">
        <x:f>IF(A53="","",SQRT(T53^2+U53^2))</x:f>
        <x:v>0.8085899565118784</x:v>
      </x:c>
      <x:c r="X53" s="365" t="n">
        <x:f>IF(A53="","",SQRT(T53^2+2*U53^2))</x:f>
        <x:v>0.950693282700515</x:v>
      </x:c>
      <x:c r="Y53" s="127"/>
      <x:c r="Z53" s="127"/>
      <x:c r="AA53" s="127"/>
      <x:c r="AB53" s="127"/>
      <x:c r="AC53" s="127"/>
      <x:c r="AD53" s="127"/>
      <x:c r="AE53" s="127"/>
      <x:c r="AF53" s="127"/>
      <x:c r="AG53" s="127"/>
      <x:c r="AH53" s="127"/>
      <x:c r="AI53" s="127"/>
      <x:c r="AJ53" s="127"/>
      <x:c r="AK53" s="127"/>
      <x:c r="AL53" s="127"/>
    </x:row>
    <x:row r="54">
      <x:c r="A54" s="367" t="n">
        <x:f>IF(A53="","",IF(A53+'00_Start'!$B$12&lt;='00_Start'!$B$11,A53+'00_Start'!$B$12,""))</x:f>
        <x:v>51.804000000000116</x:v>
      </x:c>
      <x:c r="B54" s="367" t="n">
        <x:f>IF(A54="","",2/TAN(RADIANS(A54)))</x:f>
        <x:v>1.5736187303456384</x:v>
      </x:c>
      <x:c r="C54" s="369" t="n">
        <x:f>IF($A54="","",ABS(2/T54-'02_Constants'!$D$6)/'02_Constants'!$D$6)</x:f>
        <x:v>0.0017967979060027073</x:v>
      </x:c>
      <x:c r="D54" s="369" t="n">
        <x:f>IF($A54="","",ABS(2/(T54+2*V54)-'02_Constants'!$D$7)/'02_Constants'!$D$7)</x:f>
        <x:v>0.00028994949661077167</x:v>
      </x:c>
      <x:c r="E54" s="369" t="n">
        <x:f>IF($A54="","",ABS((T54+2*V54)/2-'02_Constants'!$D$8)/'02_Constants'!$D$8)</x:f>
        <x:v>0.00005673721217254207</x:v>
      </x:c>
      <x:c r="F54" s="369" t="n">
        <x:f>IF($A54="","",ABS((T54+2*V54)/V54-'02_Constants'!$D$9)/'02_Constants'!$D$9)</x:f>
        <x:v>0.00005673721217266114</x:v>
      </x:c>
      <x:c r="G54" s="369" t="n">
        <x:f>IF($A54="","",ABS(V54-'02_Constants'!$D$10)/'02_Constants'!$D$10)</x:f>
        <x:v>0</x:v>
      </x:c>
      <x:c r="H54" s="369" t="n">
        <x:f>IF($A54="","",ABS((W54+1)/W54-'02_Constants'!$D$11)/'02_Constants'!$D$11)</x:f>
        <x:v>0.0002858069995654707</x:v>
      </x:c>
      <x:c r="I54" s="369" t="n">
        <x:f>IF($A54="","",ABS((U54+2*V54)/(W54+1)-'02_Constants'!$D$12)/'02_Constants'!$D$12)</x:f>
        <x:v>0.0005696854934771487</x:v>
      </x:c>
      <x:c r="J54" s="369" t="n">
        <x:f>IF($A54="","",ABS(X54/U54-'02_Constants'!$D$13)/'02_Constants'!$D$13)</x:f>
        <x:v>0.0003988949833428835</x:v>
      </x:c>
      <x:c r="K54" s="369" t="n">
        <x:f>IF($A54="","",ABS(W54/(W54+U54)-'02_Constants'!$D$14)/'02_Constants'!$D$14)</x:f>
        <x:v>0.0001974487858662969</x:v>
      </x:c>
      <x:c r="L54" s="369" t="n">
        <x:f>IF($A54="","",ABS(W54/U54-'02_Constants'!$D$15)/'02_Constants'!$D$15)</x:f>
        <x:v>0.0005167625377355663</x:v>
      </x:c>
      <x:c r="M54" s="369" t="n">
        <x:f>IF($A54="","",ABS(2*A54/(90-A54)-'02_Constants'!$D$16)/'02_Constants'!$D$16)</x:f>
        <x:v>0.002114013485940911</x:v>
      </x:c>
      <x:c r="N54" s="369" t="n">
        <x:f>IF($A54="","",ABS(2*A54/(90-A54)-1-'02_Constants'!$D$17)/'02_Constants'!$D$17)</x:f>
        <x:v>0.0033443200927661476</x:v>
      </x:c>
      <x:c r="O54" s="369" t="n">
        <x:f>IF(A54="","",AVERAGE(C54:N54))</x:f>
        <x:v>0.0008022628504710923</x:v>
      </x:c>
      <x:c r="P54" s="369" t="n">
        <x:f>IF(A54="","",SUMPRODUCT(C54:N54,'03_12_Errors'!$P$4:$AA$4)/SUM('03_12_Errors'!$P$4:$AA$4))</x:f>
        <x:v>0.000993726542258451</x:v>
      </x:c>
      <x:c r="Q54" s="369" t="n">
        <x:f>IF(A54="","",SQRT(SUMSQ(C54:N54)/12))</x:f>
        <x:v>0.0012859463280457516</x:v>
      </x:c>
      <x:c r="R54" s="369" t="n">
        <x:f>IF(A54="","",MAX(C54:N54))</x:f>
        <x:v>0.0033443200927661476</x:v>
      </x:c>
      <x:c r="S54" s="390" t="n">
        <x:f>IF(A54="","",COUNTIF(C54:N54,"&lt;="&amp;'00_Start'!$B$7))</x:f>
        <x:v>9</x:v>
      </x:c>
      <x:c r="T54" s="365" t="n">
        <x:f>IF(A54="","",0.5*TAN(RADIANS(A54)))</x:f>
        <x:v>0.6354779469232388</x:v>
      </x:c>
      <x:c r="U54" s="365" t="n">
        <x:f>IF(A54="","",0.5)</x:f>
        <x:v>0.5</x:v>
      </x:c>
      <x:c r="V54" s="365" t="n">
        <x:f>IF(A54="","",SQRT(2))</x:f>
        <x:v>1.4142135623730951</x:v>
      </x:c>
      <x:c r="W54" s="365" t="n">
        <x:f>IF(A54="","",SQRT(T54^2+U54^2))</x:f>
        <x:v>0.808598924699863</x:v>
      </x:c>
      <x:c r="X54" s="365" t="n">
        <x:f>IF(A54="","",SQRT(T54^2+2*U54^2))</x:f>
        <x:v>0.9507009103949436</x:v>
      </x:c>
      <x:c r="Y54" s="127"/>
      <x:c r="Z54" s="127"/>
      <x:c r="AA54" s="127"/>
      <x:c r="AB54" s="127"/>
      <x:c r="AC54" s="127"/>
      <x:c r="AD54" s="127"/>
      <x:c r="AE54" s="127"/>
      <x:c r="AF54" s="127"/>
      <x:c r="AG54" s="127"/>
      <x:c r="AH54" s="127"/>
      <x:c r="AI54" s="127"/>
      <x:c r="AJ54" s="127"/>
      <x:c r="AK54" s="127"/>
      <x:c r="AL54" s="127"/>
    </x:row>
    <x:row r="55">
      <x:c r="A55" s="367" t="n">
        <x:f>IF(A54="","",IF(A54+'00_Start'!$B$12&lt;='00_Start'!$B$11,A54+'00_Start'!$B$12,""))</x:f>
        <x:v>51.80450000000012</x:v>
      </x:c>
      <x:c r="B55" s="367" t="n">
        <x:f>IF(A55="","",2/TAN(RADIANS(A55)))</x:f>
        <x:v>1.5735904724551943</x:v>
      </x:c>
      <x:c r="C55" s="369" t="n">
        <x:f>IF($A55="","",ABS(2/T55-'02_Constants'!$D$6)/'02_Constants'!$D$6)</x:f>
        <x:v>0.0017788083742206423</x:v>
      </x:c>
      <x:c r="D55" s="369" t="n">
        <x:f>IF($A55="","",ABS(2/(T55+2*V55)-'02_Constants'!$D$7)/'02_Constants'!$D$7)</x:f>
        <x:v>0.0002866541052700194</x:v>
      </x:c>
      <x:c r="E55" s="369" t="n">
        <x:f>IF($A55="","",ABS((T55+2*V55)/2-'02_Constants'!$D$8)/'02_Constants'!$D$8)</x:f>
        <x:v>0.00005344295211631148</x:v>
      </x:c>
      <x:c r="F55" s="369" t="n">
        <x:f>IF($A55="","",ABS((T55+2*V55)/V55-'02_Constants'!$D$9)/'02_Constants'!$D$9)</x:f>
        <x:v>0.00005344295211639687</x:v>
      </x:c>
      <x:c r="G55" s="369" t="n">
        <x:f>IF($A55="","",ABS(V55-'02_Constants'!$D$10)/'02_Constants'!$D$10)</x:f>
        <x:v>0</x:v>
      </x:c>
      <x:c r="H55" s="369" t="n">
        <x:f>IF($A55="","",ABS((W55+1)/W55-'02_Constants'!$D$11)/'02_Constants'!$D$11)</x:f>
        <x:v>0.0002796727536741798</x:v>
      </x:c>
      <x:c r="I55" s="369" t="n">
        <x:f>IF($A55="","",ABS((U55+2*V55)/(W55+1)-'02_Constants'!$D$12)/'02_Constants'!$D$12)</x:f>
        <x:v>0.0005647239107423868</x:v>
      </x:c>
      <x:c r="J55" s="369" t="n">
        <x:f>IF($A55="","",ABS(X55/U55-'02_Constants'!$D$13)/'02_Constants'!$D$13)</x:f>
        <x:v>0.00039087469370559637</x:v>
      </x:c>
      <x:c r="K55" s="369" t="n">
        <x:f>IF($A55="","",ABS(W55/(W55+U55)-'02_Constants'!$D$14)/'02_Constants'!$D$14)</x:f>
        <x:v>0.00019321178191849113</x:v>
      </x:c>
      <x:c r="L55" s="369" t="n">
        <x:f>IF($A55="","",ABS(W55/U55-'02_Constants'!$D$15)/'02_Constants'!$D$15)</x:f>
        <x:v>0.000505676925735266</x:v>
      </x:c>
      <x:c r="M55" s="369" t="n">
        <x:f>IF($A55="","",ABS(2*A55/(90-A55)-'02_Constants'!$D$16)/'02_Constants'!$D$16)</x:f>
        <x:v>0.002091319125756295</x:v>
      </x:c>
      <x:c r="N55" s="369" t="n">
        <x:f>IF($A55="","",ABS(2*A55/(90-A55)-1-'02_Constants'!$D$17)/'02_Constants'!$D$17)</x:f>
        <x:v>0.0033084181435767824</x:v>
      </x:c>
      <x:c r="O55" s="369" t="n">
        <x:f>IF(A55="","",AVERAGE(C55:N55))</x:f>
        <x:v>0.0007921871432360308</x:v>
      </x:c>
      <x:c r="P55" s="369" t="n">
        <x:f>IF(A55="","",SUMPRODUCT(C55:N55,'03_12_Errors'!$P$4:$AA$4)/SUM('03_12_Errors'!$P$4:$AA$4))</x:f>
        <x:v>0.00098194046171312</x:v>
      </x:c>
      <x:c r="Q55" s="369" t="n">
        <x:f>IF(A55="","",SQRT(SUMSQ(C55:N55)/12))</x:f>
        <x:v>0.0012719486795731347</x:v>
      </x:c>
      <x:c r="R55" s="369" t="n">
        <x:f>IF(A55="","",MAX(C55:N55))</x:f>
        <x:v>0.0033084181435767824</x:v>
      </x:c>
      <x:c r="S55" s="390" t="n">
        <x:f>IF(A55="","",COUNTIF(C55:N55,"&lt;="&amp;'00_Start'!$B$7))</x:f>
        <x:v>9</x:v>
      </x:c>
      <x:c r="T55" s="365" t="n">
        <x:f>IF(A55="","",0.5*TAN(RADIANS(A55)))</x:f>
        <x:v>0.6354893585748204</x:v>
      </x:c>
      <x:c r="U55" s="365" t="n">
        <x:f>IF(A55="","",0.5)</x:f>
        <x:v>0.5</x:v>
      </x:c>
      <x:c r="V55" s="365" t="n">
        <x:f>IF(A55="","",SQRT(2))</x:f>
        <x:v>1.4142135623730951</x:v>
      </x:c>
      <x:c r="W55" s="365" t="n">
        <x:f>IF(A55="","",SQRT(T55^2+U55^2))</x:f>
        <x:v>0.8086078931483643</x:v>
      </x:c>
      <x:c r="X55" s="365" t="n">
        <x:f>IF(A55="","",SQRT(T55^2+2*U55^2))</x:f>
        <x:v>0.9507085383343502</x:v>
      </x:c>
      <x:c r="Y55" s="127"/>
      <x:c r="Z55" s="127"/>
      <x:c r="AA55" s="127"/>
      <x:c r="AB55" s="127"/>
      <x:c r="AC55" s="127"/>
      <x:c r="AD55" s="127"/>
      <x:c r="AE55" s="127"/>
      <x:c r="AF55" s="127"/>
      <x:c r="AG55" s="127"/>
      <x:c r="AH55" s="127"/>
      <x:c r="AI55" s="127"/>
      <x:c r="AJ55" s="127"/>
      <x:c r="AK55" s="127"/>
      <x:c r="AL55" s="127"/>
    </x:row>
    <x:row r="56">
      <x:c r="A56" s="367" t="n">
        <x:f>IF(A55="","",IF(A55+'00_Start'!$B$12&lt;='00_Start'!$B$11,A55+'00_Start'!$B$12,""))</x:f>
        <x:v>51.80500000000012</x:v>
      </x:c>
      <x:c r="B56" s="367" t="n">
        <x:f>IF(A56="","",2/TAN(RADIANS(A56)))</x:f>
        <x:v>1.57356221495279</x:v>
      </x:c>
      <x:c r="C56" s="369" t="n">
        <x:f>IF($A56="","",ABS(2/T56-'02_Constants'!$D$6)/'02_Constants'!$D$6)</x:f>
        <x:v>0.0017608190894722593</x:v>
      </x:c>
      <x:c r="D56" s="369" t="n">
        <x:f>IF($A56="","",ABS(2/(T56+2*V56)-'02_Constants'!$D$7)/'02_Constants'!$D$7)</x:f>
        <x:v>0.00028335866254110774</x:v>
      </x:c>
      <x:c r="E56" s="369" t="n">
        <x:f>IF($A56="","",ABS((T56+2*V56)/2-'02_Constants'!$D$8)/'02_Constants'!$D$8)</x:f>
        <x:v>0.00005014861898339649</x:v>
      </x:c>
      <x:c r="F56" s="369" t="n">
        <x:f>IF($A56="","",ABS((T56+2*V56)/V56-'02_Constants'!$D$9)/'02_Constants'!$D$9)</x:f>
        <x:v>0.00005014861898335621</x:v>
      </x:c>
      <x:c r="G56" s="369" t="n">
        <x:f>IF($A56="","",ABS(V56-'02_Constants'!$D$10)/'02_Constants'!$D$10)</x:f>
        <x:v>0</x:v>
      </x:c>
      <x:c r="H56" s="369" t="n">
        <x:f>IF($A56="","",ABS((W56+1)/W56-'02_Constants'!$D$11)/'02_Constants'!$D$11)</x:f>
        <x:v>0.0002735384656642145</x:v>
      </x:c>
      <x:c r="I56" s="369" t="n">
        <x:f>IF($A56="","",ABS((U56+2*V56)/(W56+1)-'02_Constants'!$D$12)/'02_Constants'!$D$12)</x:f>
        <x:v>0.0005597622330861022</x:v>
      </x:c>
      <x:c r="J56" s="369" t="n">
        <x:f>IF($A56="","",ABS(X56/U56-'02_Constants'!$D$13)/'02_Constants'!$D$13)</x:f>
        <x:v>0.0003828541464792065</x:v>
      </x:c>
      <x:c r="K56" s="369" t="n">
        <x:f>IF($A56="","",ABS(W56/(W56+U56)-'02_Constants'!$D$14)/'02_Constants'!$D$14)</x:f>
        <x:v>0.0001889747129667501</x:v>
      </x:c>
      <x:c r="L56" s="369" t="n">
        <x:f>IF($A56="","",ABS(W56/U56-'02_Constants'!$D$15)/'02_Constants'!$D$15)</x:f>
        <x:v>0.0004945909917061035</x:v>
      </x:c>
      <x:c r="M56" s="369" t="n">
        <x:f>IF($A56="","",ABS(2*A56/(90-A56)-'02_Constants'!$D$16)/'02_Constants'!$D$16)</x:f>
        <x:v>0.002068624171400752</x:v>
      </x:c>
      <x:c r="N56" s="369" t="n">
        <x:f>IF($A56="","",ABS(2*A56/(90-A56)-1-'02_Constants'!$D$17)/'02_Constants'!$D$17)</x:f>
        <x:v>0.0032725152544228506</x:v>
      </x:c>
      <x:c r="O56" s="369" t="n">
        <x:f>IF(A56="","",AVERAGE(C56:N56))</x:f>
        <x:v>0.0007821112471421749</x:v>
      </x:c>
      <x:c r="P56" s="369" t="n">
        <x:f>IF(A56="","",SUMPRODUCT(C56:N56,'03_12_Errors'!$P$4:$AA$4)/SUM('03_12_Errors'!$P$4:$AA$4))</x:f>
        <x:v>0.000970154200927391</x:v>
      </x:c>
      <x:c r="Q56" s="369" t="n">
        <x:f>IF(A56="","",SQRT(SUMSQ(C56:N56)/12))</x:f>
        <x:v>0.0012579558105935886</x:v>
      </x:c>
      <x:c r="R56" s="369" t="n">
        <x:f>IF(A56="","",MAX(C56:N56))</x:f>
        <x:v>0.0032725152544228506</x:v>
      </x:c>
      <x:c r="S56" s="390" t="n">
        <x:f>IF(A56="","",COUNTIF(C56:N56,"&lt;="&amp;'00_Start'!$B$7))</x:f>
        <x:v>9</x:v>
      </x:c>
      <x:c r="T56" s="365" t="n">
        <x:f>IF(A56="","",0.5*TAN(RADIANS(A56)))</x:f>
        <x:v>0.6355007704795467</x:v>
      </x:c>
      <x:c r="U56" s="365" t="n">
        <x:f>IF(A56="","",0.5)</x:f>
        <x:v>0.5</x:v>
      </x:c>
      <x:c r="V56" s="365" t="n">
        <x:f>IF(A56="","",SQRT(2))</x:f>
        <x:v>1.4142135623730951</x:v>
      </x:c>
      <x:c r="W56" s="365" t="n">
        <x:f>IF(A56="","",SQRT(T56^2+U56^2))</x:f>
        <x:v>0.8086168618573925</x:v>
      </x:c>
      <x:c r="X56" s="365" t="n">
        <x:f>IF(A56="","",SQRT(T56^2+2*U56^2))</x:f>
        <x:v>0.9507161665187447</x:v>
      </x:c>
      <x:c r="Y56" s="127"/>
      <x:c r="Z56" s="127"/>
      <x:c r="AA56" s="127"/>
      <x:c r="AB56" s="127"/>
      <x:c r="AC56" s="127"/>
      <x:c r="AD56" s="127"/>
      <x:c r="AE56" s="127"/>
      <x:c r="AF56" s="127"/>
      <x:c r="AG56" s="127"/>
      <x:c r="AH56" s="127"/>
      <x:c r="AI56" s="127"/>
      <x:c r="AJ56" s="127"/>
      <x:c r="AK56" s="127"/>
      <x:c r="AL56" s="127"/>
    </x:row>
    <x:row r="57">
      <x:c r="A57" s="367" t="n">
        <x:f>IF(A56="","",IF(A56+'00_Start'!$B$12&lt;='00_Start'!$B$11,A56+'00_Start'!$B$12,""))</x:f>
        <x:v>51.80550000000012</x:v>
      </x:c>
      <x:c r="B57" s="367" t="n">
        <x:f>IF(A57="","",2/TAN(RADIANS(A57)))</x:f>
        <x:v>1.5735339578384122</x:v>
      </x:c>
      <x:c r="C57" s="369" t="n">
        <x:f>IF($A57="","",ABS(2/T57-'02_Constants'!$D$6)/'02_Constants'!$D$6)</x:f>
        <x:v>0.0017428300517493597</x:v>
      </x:c>
      <x:c r="D57" s="369" t="n">
        <x:f>IF($A57="","",ABS(2/(T57+2*V57)-'02_Constants'!$D$7)/'02_Constants'!$D$7)</x:f>
        <x:v>0.0002800631684223056</x:v>
      </x:c>
      <x:c r="E57" s="369" t="n">
        <x:f>IF($A57="","",ABS((T57+2*V57)/2-'02_Constants'!$D$8)/'02_Constants'!$D$8)</x:f>
        <x:v>0.00004685421277097675</x:v>
      </x:c>
      <x:c r="F57" s="369" t="n">
        <x:f>IF($A57="","",ABS((T57+2*V57)/V57-'02_Constants'!$D$9)/'02_Constants'!$D$9)</x:f>
        <x:v>0.000046854212771000995</x:v>
      </x:c>
      <x:c r="G57" s="369" t="n">
        <x:f>IF($A57="","",ABS(V57-'02_Constants'!$D$10)/'02_Constants'!$D$10)</x:f>
        <x:v>0</x:v>
      </x:c>
      <x:c r="H57" s="369" t="n">
        <x:f>IF($A57="","",ABS((W57+1)/W57-'02_Constants'!$D$11)/'02_Constants'!$D$11)</x:f>
        <x:v>0.00026740413553636913</x:v>
      </x:c>
      <x:c r="I57" s="369" t="n">
        <x:f>IF($A57="","",ABS((U57+2*V57)/(W57+1)-'02_Constants'!$D$12)/'02_Constants'!$D$12)</x:f>
        <x:v>0.0005548004605056388</x:v>
      </x:c>
      <x:c r="J57" s="369" t="n">
        <x:f>IF($A57="","",ABS(X57/U57-'02_Constants'!$D$13)/'02_Constants'!$D$13)</x:f>
        <x:v>0.0003748333416530913</x:v>
      </x:c>
      <x:c r="K57" s="369" t="n">
        <x:f>IF($A57="","",ABS(W57/(W57+U57)-'02_Constants'!$D$14)/'02_Constants'!$D$14)</x:f>
        <x:v>0.00018473757901053492</x:v>
      </x:c>
      <x:c r="L57" s="369" t="n">
        <x:f>IF($A57="","",ABS(W57/U57-'02_Constants'!$D$15)/'02_Constants'!$D$15)</x:f>
        <x:v>0.00048350473563531595</x:v>
      </x:c>
      <x:c r="M57" s="369" t="n">
        <x:f>IF($A57="","",ABS(2*A57/(90-A57)-'02_Constants'!$D$16)/'02_Constants'!$D$16)</x:f>
        <x:v>0.002045928622850756</x:v>
      </x:c>
      <x:c r="N57" s="369" t="n">
        <x:f>IF($A57="","",ABS(2*A57/(90-A57)-1-'02_Constants'!$D$17)/'02_Constants'!$D$17)</x:f>
        <x:v>0.0032366114252671357</x:v>
      </x:c>
      <x:c r="O57" s="369" t="n">
        <x:f>IF(A57="","",AVERAGE(C57:N57))</x:f>
        <x:v>0.0007720351621810403</x:v>
      </x:c>
      <x:c r="P57" s="369" t="n">
        <x:f>IF(A57="","",SUMPRODUCT(C57:N57,'03_12_Errors'!$P$4:$AA$4)/SUM('03_12_Errors'!$P$4:$AA$4))</x:f>
        <x:v>0.0009583677598915341</x:v>
      </x:c>
      <x:c r="Q57" s="369" t="n">
        <x:f>IF(A57="","",SQRT(SUMSQ(C57:N57)/12))</x:f>
        <x:v>0.0012439678924460644</x:v>
      </x:c>
      <x:c r="R57" s="369" t="n">
        <x:f>IF(A57="","",MAX(C57:N57))</x:f>
        <x:v>0.0032366114252671357</x:v>
      </x:c>
      <x:c r="S57" s="390" t="n">
        <x:f>IF(A57="","",COUNTIF(C57:N57,"&lt;="&amp;'00_Start'!$B$7))</x:f>
        <x:v>9</x:v>
      </x:c>
      <x:c r="T57" s="365" t="n">
        <x:f>IF(A57="","",0.5*TAN(RADIANS(A57)))</x:f>
        <x:v>0.635512182637428</x:v>
      </x:c>
      <x:c r="U57" s="365" t="n">
        <x:f>IF(A57="","",0.5)</x:f>
        <x:v>0.5</x:v>
      </x:c>
      <x:c r="V57" s="365" t="n">
        <x:f>IF(A57="","",SQRT(2))</x:f>
        <x:v>1.4142135623730951</x:v>
      </x:c>
      <x:c r="W57" s="365" t="n">
        <x:f>IF(A57="","",SQRT(T57^2+U57^2))</x:f>
        <x:v>0.8086258308269577</x:v>
      </x:c>
      <x:c r="X57" s="365" t="n">
        <x:f>IF(A57="","",SQRT(T57^2+2*U57^2))</x:f>
        <x:v>0.9507237949481372</x:v>
      </x:c>
      <x:c r="Y57" s="127"/>
      <x:c r="Z57" s="127"/>
      <x:c r="AA57" s="127"/>
      <x:c r="AB57" s="127"/>
      <x:c r="AC57" s="127"/>
      <x:c r="AD57" s="127"/>
      <x:c r="AE57" s="127"/>
      <x:c r="AF57" s="127"/>
      <x:c r="AG57" s="127"/>
      <x:c r="AH57" s="127"/>
      <x:c r="AI57" s="127"/>
      <x:c r="AJ57" s="127"/>
      <x:c r="AK57" s="127"/>
      <x:c r="AL57" s="127"/>
    </x:row>
    <x:row r="58">
      <x:c r="A58" s="367" t="n">
        <x:f>IF(A57="","",IF(A57+'00_Start'!$B$12&lt;='00_Start'!$B$11,A57+'00_Start'!$B$12,""))</x:f>
        <x:v>51.806000000000125</x:v>
      </x:c>
      <x:c r="B58" s="367" t="n">
        <x:f>IF(A58="","",2/TAN(RADIANS(A58)))</x:f>
        <x:v>1.5735057011120497</x:v>
      </x:c>
      <x:c r="C58" s="369" t="n">
        <x:f>IF($A58="","",ABS(2/T58-'02_Constants'!$D$6)/'02_Constants'!$D$6)</x:f>
        <x:v>0.0017248412610445928</x:v>
      </x:c>
      <x:c r="D58" s="369" t="n">
        <x:f>IF($A58="","",ABS(2/(T58+2*V58)-'02_Constants'!$D$7)/'02_Constants'!$D$7)</x:f>
        <x:v>0.0002767676229122666</x:v>
      </x:c>
      <x:c r="E58" s="369" t="n">
        <x:f>IF($A58="","",ABS((T58+2*V58)/2-'02_Constants'!$D$8)/'02_Constants'!$D$8)</x:f>
        <x:v>0.000043559733476231914</x:v>
      </x:c>
      <x:c r="F58" s="369" t="n">
        <x:f>IF($A58="","",ABS((T58+2*V58)/V58-'02_Constants'!$D$9)/'02_Constants'!$D$9)</x:f>
        <x:v>0.00004355973347624915</x:v>
      </x:c>
      <x:c r="G58" s="369" t="n">
        <x:f>IF($A58="","",ABS(V58-'02_Constants'!$D$10)/'02_Constants'!$D$10)</x:f>
        <x:v>0</x:v>
      </x:c>
      <x:c r="H58" s="369" t="n">
        <x:f>IF($A58="","",ABS((W58+1)/W58-'02_Constants'!$D$11)/'02_Constants'!$D$11)</x:f>
        <x:v>0.0002612697632912395</x:v>
      </x:c>
      <x:c r="I58" s="369" t="n">
        <x:f>IF($A58="","",ABS((U58+2*V58)/(W58+1)-'02_Constants'!$D$12)/'02_Constants'!$D$12)</x:f>
        <x:v>0.0005498385929994273</x:v>
      </x:c>
      <x:c r="J58" s="369" t="n">
        <x:f>IF($A58="","",ABS(X58/U58-'02_Constants'!$D$13)/'02_Constants'!$D$13)</x:f>
        <x:v>0.0003668122792167449</x:v>
      </x:c>
      <x:c r="K58" s="369" t="n">
        <x:f>IF($A58="","",ABS(W58/(W58+U58)-'02_Constants'!$D$14)/'02_Constants'!$D$14)</x:f>
        <x:v>0.0001805003800489474</x:v>
      </x:c>
      <x:c r="L58" s="369" t="n">
        <x:f>IF($A58="","",ABS(W58/U58-'02_Constants'!$D$15)/'02_Constants'!$D$15)</x:f>
        <x:v>0.0004724181575109645</x:v>
      </x:c>
      <x:c r="M58" s="369" t="n">
        <x:f>IF($A58="","",ABS(2*A58/(90-A58)-'02_Constants'!$D$16)/'02_Constants'!$D$16)</x:f>
        <x:v>0.0020232324800832724</x:v>
      </x:c>
      <x:c r="N58" s="369" t="n">
        <x:f>IF($A58="","",ABS(2*A58/(90-A58)-1-'02_Constants'!$D$17)/'02_Constants'!$D$17)</x:f>
        <x:v>0.003200706656073195</x:v>
      </x:c>
      <x:c r="O58" s="369" t="n">
        <x:f>IF(A58="","",AVERAGE(C58:N58))</x:f>
        <x:v>0.0007619588883444276</x:v>
      </x:c>
      <x:c r="P58" s="369" t="n">
        <x:f>IF(A58="","",SUMPRODUCT(C58:N58,'03_12_Errors'!$P$4:$AA$4)/SUM('03_12_Errors'!$P$4:$AA$4))</x:f>
        <x:v>0.0009465811385962721</x:v>
      </x:c>
      <x:c r="Q58" s="369" t="n">
        <x:f>IF(A58="","",SQRT(SUMSQ(C58:N58)/12))</x:f>
        <x:v>0.0012299851042065684</x:v>
      </x:c>
      <x:c r="R58" s="369" t="n">
        <x:f>IF(A58="","",MAX(C58:N58))</x:f>
        <x:v>0.003200706656073195</x:v>
      </x:c>
      <x:c r="S58" s="390" t="n">
        <x:f>IF(A58="","",COUNTIF(C58:N58,"&lt;="&amp;'00_Start'!$B$7))</x:f>
        <x:v>9</x:v>
      </x:c>
      <x:c r="T58" s="365" t="n">
        <x:f>IF(A58="","",0.5*TAN(RADIANS(A58)))</x:f>
        <x:v>0.6355235950484743</x:v>
      </x:c>
      <x:c r="U58" s="365" t="n">
        <x:f>IF(A58="","",0.5)</x:f>
        <x:v>0.5</x:v>
      </x:c>
      <x:c r="V58" s="365" t="n">
        <x:f>IF(A58="","",SQRT(2))</x:f>
        <x:v>1.4142135623730951</x:v>
      </x:c>
      <x:c r="W58" s="365" t="n">
        <x:f>IF(A58="","",SQRT(T58^2+U58^2))</x:f>
        <x:v>0.8086348000570698</x:v>
      </x:c>
      <x:c r="X58" s="365" t="n">
        <x:f>IF(A58="","",SQRT(T58^2+2*U58^2))</x:f>
        <x:v>0.9507314236225377</x:v>
      </x:c>
      <x:c r="Y58" s="127"/>
      <x:c r="Z58" s="127"/>
      <x:c r="AA58" s="127"/>
      <x:c r="AB58" s="127"/>
      <x:c r="AC58" s="127"/>
      <x:c r="AD58" s="127"/>
      <x:c r="AE58" s="127"/>
      <x:c r="AF58" s="127"/>
      <x:c r="AG58" s="127"/>
      <x:c r="AH58" s="127"/>
      <x:c r="AI58" s="127"/>
      <x:c r="AJ58" s="127"/>
      <x:c r="AK58" s="127"/>
      <x:c r="AL58" s="127"/>
    </x:row>
    <x:row r="59">
      <x:c r="A59" s="367" t="n">
        <x:f>IF(A58="","",IF(A58+'00_Start'!$B$12&lt;='00_Start'!$B$11,A58+'00_Start'!$B$12,""))</x:f>
        <x:v>51.80650000000013</x:v>
      </x:c>
      <x:c r="B59" s="367" t="n">
        <x:f>IF(A59="","",2/TAN(RADIANS(A59)))</x:f>
        <x:v>1.5734774447736892</x:v>
      </x:c>
      <x:c r="C59" s="369" t="n">
        <x:f>IF($A59="","",ABS(2/T59-'02_Constants'!$D$6)/'02_Constants'!$D$6)</x:f>
        <x:v>0.0017068527173496185</x:v>
      </x:c>
      <x:c r="D59" s="369" t="n">
        <x:f>IF($A59="","",ABS(2/(T59+2*V59)-'02_Constants'!$D$7)/'02_Constants'!$D$7)</x:f>
        <x:v>0.0002734720260084903</x:v>
      </x:c>
      <x:c r="E59" s="369" t="n">
        <x:f>IF($A59="","",ABS((T59+2*V59)/2-'02_Constants'!$D$8)/'02_Constants'!$D$8)</x:f>
        <x:v>0.00004026518109582885</x:v>
      </x:c>
      <x:c r="F59" s="369" t="n">
        <x:f>IF($A59="","",ABS((T59+2*V59)/V59-'02_Constants'!$D$9)/'02_Constants'!$D$9)</x:f>
        <x:v>0.00004026518109583729</x:v>
      </x:c>
      <x:c r="G59" s="369" t="n">
        <x:f>IF($A59="","",ABS(V59-'02_Constants'!$D$10)/'02_Constants'!$D$10)</x:f>
        <x:v>0</x:v>
      </x:c>
      <x:c r="H59" s="369" t="n">
        <x:f>IF($A59="","",ABS((W59+1)/W59-'02_Constants'!$D$11)/'02_Constants'!$D$11)</x:f>
        <x:v>0.0002551353489288257</x:v>
      </x:c>
      <x:c r="I59" s="369" t="n">
        <x:f>IF($A59="","",ABS((U59+2*V59)/(W59+1)-'02_Constants'!$D$12)/'02_Constants'!$D$12)</x:f>
        <x:v>0.0005448766305652947</x:v>
      </x:c>
      <x:c r="J59" s="369" t="n">
        <x:f>IF($A59="","",ABS(X59/U59-'02_Constants'!$D$13)/'02_Constants'!$D$13)</x:f>
        <x:v>0.0003587909591596612</x:v>
      </x:c>
      <x:c r="K59" s="369" t="n">
        <x:f>IF($A59="","",ABS(W59/(W59+U59)-'02_Constants'!$D$14)/'02_Constants'!$D$14)</x:f>
        <x:v>0.00017626311608090966</x:v>
      </x:c>
      <x:c r="L59" s="369" t="n">
        <x:f>IF($A59="","",ABS(W59/U59-'02_Constants'!$D$15)/'02_Constants'!$D$15)</x:f>
        <x:v>0.0004613312573204238</x:v>
      </x:c>
      <x:c r="M59" s="369" t="n">
        <x:f>IF($A59="","",ABS(2*A59/(90-A59)-'02_Constants'!$D$16)/'02_Constants'!$D$16)</x:f>
        <x:v>0.002000535743074775</x:v>
      </x:c>
      <x:c r="N59" s="369" t="n">
        <x:f>IF($A59="","",ABS(2*A59/(90-A59)-1-'02_Constants'!$D$17)/'02_Constants'!$D$17)</x:f>
        <x:v>0.0031648009468038135</x:v>
      </x:c>
      <x:c r="O59" s="369" t="n">
        <x:f>IF(A59="","",AVERAGE(C59:N59))</x:f>
        <x:v>0.0007518824256236232</x:v>
      </x:c>
      <x:c r="P59" s="369" t="n">
        <x:f>IF(A59="","",SUMPRODUCT(C59:N59,'03_12_Errors'!$P$4:$AA$4)/SUM('03_12_Errors'!$P$4:$AA$4))</x:f>
        <x:v>0.0009347943370317736</x:v>
      </x:c>
      <x:c r="Q59" s="369" t="n">
        <x:f>IF(A59="","",SQRT(SUMSQ(C59:N59)/12))</x:f>
        <x:v>0.0012160076331248811</x:v>
      </x:c>
      <x:c r="R59" s="369" t="n">
        <x:f>IF(A59="","",MAX(C59:N59))</x:f>
        <x:v>0.0031648009468038135</x:v>
      </x:c>
      <x:c r="S59" s="390" t="n">
        <x:f>IF(A59="","",COUNTIF(C59:N59,"&lt;="&amp;'00_Start'!$B$7))</x:f>
        <x:v>9</x:v>
      </x:c>
      <x:c r="T59" s="365" t="n">
        <x:f>IF(A59="","",0.5*TAN(RADIANS(A59)))</x:f>
        <x:v>0.6355350077126961</x:v>
      </x:c>
      <x:c r="U59" s="365" t="n">
        <x:f>IF(A59="","",0.5)</x:f>
        <x:v>0.5</x:v>
      </x:c>
      <x:c r="V59" s="365" t="n">
        <x:f>IF(A59="","",SQRT(2))</x:f>
        <x:v>1.4142135623730951</x:v>
      </x:c>
      <x:c r="W59" s="365" t="n">
        <x:f>IF(A59="","",SQRT(T59^2+U59^2))</x:f>
        <x:v>0.8086437695477389</x:v>
      </x:c>
      <x:c r="X59" s="365" t="n">
        <x:f>IF(A59="","",SQRT(T59^2+2*U59^2))</x:f>
        <x:v>0.9507390525419562</x:v>
      </x:c>
      <x:c r="Y59" s="127"/>
      <x:c r="Z59" s="127"/>
      <x:c r="AA59" s="127"/>
      <x:c r="AB59" s="127"/>
      <x:c r="AC59" s="127"/>
      <x:c r="AD59" s="127"/>
      <x:c r="AE59" s="127"/>
      <x:c r="AF59" s="127"/>
      <x:c r="AG59" s="127"/>
      <x:c r="AH59" s="127"/>
      <x:c r="AI59" s="127"/>
      <x:c r="AJ59" s="127"/>
      <x:c r="AK59" s="127"/>
      <x:c r="AL59" s="127"/>
    </x:row>
    <x:row r="60">
      <x:c r="A60" s="367" t="n">
        <x:f>IF(A59="","",IF(A59+'00_Start'!$B$12&lt;='00_Start'!$B$11,A59+'00_Start'!$B$12,""))</x:f>
        <x:v>51.80700000000013</x:v>
      </x:c>
      <x:c r="B60" s="367" t="n">
        <x:f>IF(A60="","",2/TAN(RADIANS(A60)))</x:f>
        <x:v>1.5734491888233195</x:v>
      </x:c>
      <x:c r="C60" s="369" t="n">
        <x:f>IF($A60="","",ABS(2/T60-'02_Constants'!$D$6)/'02_Constants'!$D$6)</x:f>
        <x:v>0.0016888644206572276</x:v>
      </x:c>
      <x:c r="D60" s="369" t="n">
        <x:f>IF($A60="","",ABS(2/(T60+2*V60)-'02_Constants'!$D$7)/'02_Constants'!$D$7)</x:f>
        <x:v>0.000270176377710015</x:v>
      </x:c>
      <x:c r="E60" s="369" t="n">
        <x:f>IF($A60="","",ABS((T60+2*V60)/2-'02_Constants'!$D$8)/'02_Constants'!$D$8)</x:f>
        <x:v>0.000036970555627203616</x:v>
      </x:c>
      <x:c r="F60" s="369" t="n">
        <x:f>IF($A60="","",ABS((T60+2*V60)/V60-'02_Constants'!$D$9)/'02_Constants'!$D$9)</x:f>
        <x:v>0.00003697055562722724</x:v>
      </x:c>
      <x:c r="G60" s="369" t="n">
        <x:f>IF($A60="","",ABS(V60-'02_Constants'!$D$10)/'02_Constants'!$D$10)</x:f>
        <x:v>0</x:v>
      </x:c>
      <x:c r="H60" s="369" t="n">
        <x:f>IF($A60="","",ABS((W60+1)/W60-'02_Constants'!$D$11)/'02_Constants'!$D$11)</x:f>
        <x:v>0.0002490008924501207</x:v>
      </x:c>
      <x:c r="I60" s="369" t="n">
        <x:f>IF($A60="","",ABS((U60+2*V60)/(W60+1)-'02_Constants'!$D$12)/'02_Constants'!$D$12)</x:f>
        <x:v>0.0005399145732013093</x:v>
      </x:c>
      <x:c r="J60" s="369" t="n">
        <x:f>IF($A60="","",ABS(X60/U60-'02_Constants'!$D$13)/'02_Constants'!$D$13)</x:f>
        <x:v>0.0003507693814712176</x:v>
      </x:c>
      <x:c r="K60" s="369" t="n">
        <x:f>IF($A60="","",ABS(W60/(W60+U60)-'02_Constants'!$D$14)/'02_Constants'!$D$14)</x:f>
        <x:v>0.00017202578710552355</x:v>
      </x:c>
      <x:c r="L60" s="369" t="n">
        <x:f>IF($A60="","",ABS(W60/U60-'02_Constants'!$D$15)/'02_Constants'!$D$15)</x:f>
        <x:v>0.0004502440350513431</x:v>
      </x:c>
      <x:c r="M60" s="369" t="n">
        <x:f>IF($A60="","",ABS(2*A60/(90-A60)-'02_Constants'!$D$16)/'02_Constants'!$D$16)</x:f>
        <x:v>0.001977838411801902</x:v>
      </x:c>
      <x:c r="N60" s="369" t="n">
        <x:f>IF($A60="","",ABS(2*A60/(90-A60)-1-'02_Constants'!$D$17)/'02_Constants'!$D$17)</x:f>
        <x:v>0.0031288942974220316</x:v>
      </x:c>
      <x:c r="O60" s="369" t="n">
        <x:f>IF(A60="","",AVERAGE(C60:N60))</x:f>
        <x:v>0.0007418057740104268</x:v>
      </x:c>
      <x:c r="P60" s="369" t="n">
        <x:f>IF(A60="","",SUMPRODUCT(C60:N60,'03_12_Errors'!$P$4:$AA$4)/SUM('03_12_Errors'!$P$4:$AA$4))</x:f>
        <x:v>0.0009230073551887</x:v>
      </x:c>
      <x:c r="Q60" s="369" t="n">
        <x:f>IF(A60="","",SQRT(SUMSQ(C60:N60)/12))</x:f>
        <x:v>0.0012020356750925601</x:v>
      </x:c>
      <x:c r="R60" s="369" t="n">
        <x:f>IF(A60="","",MAX(C60:N60))</x:f>
        <x:v>0.0031288942974220316</x:v>
      </x:c>
      <x:c r="S60" s="390" t="n">
        <x:f>IF(A60="","",COUNTIF(C60:N60,"&lt;="&amp;'00_Start'!$B$7))</x:f>
        <x:v>9</x:v>
      </x:c>
      <x:c r="T60" s="365" t="n">
        <x:f>IF(A60="","",0.5*TAN(RADIANS(A60)))</x:f>
        <x:v>0.6355464206301031</x:v>
      </x:c>
      <x:c r="U60" s="365" t="n">
        <x:f>IF(A60="","",0.5)</x:f>
        <x:v>0.5</x:v>
      </x:c>
      <x:c r="V60" s="365" t="n">
        <x:f>IF(A60="","",SQRT(2))</x:f>
        <x:v>1.4142135623730951</x:v>
      </x:c>
      <x:c r="W60" s="365" t="n">
        <x:f>IF(A60="","",SQRT(T60^2+U60^2))</x:f>
        <x:v>0.808652739298975</x:v>
      </x:c>
      <x:c r="X60" s="365" t="n">
        <x:f>IF(A60="","",SQRT(T60^2+2*U60^2))</x:f>
        <x:v>0.9507466817064029</x:v>
      </x:c>
      <x:c r="Y60" s="127"/>
      <x:c r="Z60" s="127"/>
      <x:c r="AA60" s="127"/>
      <x:c r="AB60" s="127"/>
      <x:c r="AC60" s="127"/>
      <x:c r="AD60" s="127"/>
      <x:c r="AE60" s="127"/>
      <x:c r="AF60" s="127"/>
      <x:c r="AG60" s="127"/>
      <x:c r="AH60" s="127"/>
      <x:c r="AI60" s="127"/>
      <x:c r="AJ60" s="127"/>
      <x:c r="AK60" s="127"/>
      <x:c r="AL60" s="127"/>
    </x:row>
    <x:row r="61">
      <x:c r="A61" s="367" t="n">
        <x:f>IF(A60="","",IF(A60+'00_Start'!$B$12&lt;='00_Start'!$B$11,A60+'00_Start'!$B$12,""))</x:f>
        <x:v>51.80750000000013</x:v>
      </x:c>
      <x:c r="B61" s="367" t="n">
        <x:f>IF(A61="","",2/TAN(RADIANS(A61)))</x:f>
        <x:v>1.5734209332609277</x:v>
      </x:c>
      <x:c r="C61" s="369" t="n">
        <x:f>IF($A61="","",ABS(2/T61-'02_Constants'!$D$6)/'02_Constants'!$D$6)</x:f>
        <x:v>0.0016708763709592214</x:v>
      </x:c>
      <x:c r="D61" s="369" t="n">
        <x:f>IF($A61="","",ABS(2/(T61+2*V61)-'02_Constants'!$D$7)/'02_Constants'!$D$7)</x:f>
        <x:v>0.0002668806780151097</x:v>
      </x:c>
      <x:c r="E61" s="369" t="n">
        <x:f>IF($A61="","",ABS((T61+2*V61)/2-'02_Constants'!$D$8)/'02_Constants'!$D$8)</x:f>
        <x:v>0.00003367585706740765</x:v>
      </x:c>
      <x:c r="F61" s="369" t="n">
        <x:f>IF($A61="","",ABS((T61+2*V61)/V61-'02_Constants'!$D$9)/'02_Constants'!$D$9)</x:f>
        <x:v>0.00003367585706751821</x:v>
      </x:c>
      <x:c r="G61" s="369" t="n">
        <x:f>IF($A61="","",ABS(V61-'02_Constants'!$D$10)/'02_Constants'!$D$10)</x:f>
        <x:v>0</x:v>
      </x:c>
      <x:c r="H61" s="369" t="n">
        <x:f>IF($A61="","",ABS((W61+1)/W61-'02_Constants'!$D$11)/'02_Constants'!$D$11)</x:f>
        <x:v>0.00024286639385532309</x:v>
      </x:c>
      <x:c r="I61" s="369" t="n">
        <x:f>IF($A61="","",ABS((U61+2*V61)/(W61+1)-'02_Constants'!$D$12)/'02_Constants'!$D$12)</x:f>
        <x:v>0.0005349524209054189</x:v>
      </x:c>
      <x:c r="J61" s="369" t="n">
        <x:f>IF($A61="","",ABS(X61/U61-'02_Constants'!$D$13)/'02_Constants'!$D$13)</x:f>
        <x:v>0.00034274754614114155</x:v>
      </x:c>
      <x:c r="K61" s="369" t="n">
        <x:f>IF($A61="","",ABS(W61/(W61+U61)-'02_Constants'!$D$14)/'02_Constants'!$D$14)</x:f>
        <x:v>0.00016778839312225015</x:v>
      </x:c>
      <x:c r="L61" s="369" t="n">
        <x:f>IF($A61="","",ABS(W61/U61-'02_Constants'!$D$15)/'02_Constants'!$D$15)</x:f>
        <x:v>0.00043915649069137155</x:v>
      </x:c>
      <x:c r="M61" s="369" t="n">
        <x:f>IF($A61="","",ABS(2*A61/(90-A61)-'02_Constants'!$D$16)/'02_Constants'!$D$16)</x:f>
        <x:v>0.0019551404862412913</x:v>
      </x:c>
      <x:c r="N61" s="369" t="n">
        <x:f>IF($A61="","",ABS(2*A61/(90-A61)-1-'02_Constants'!$D$17)/'02_Constants'!$D$17)</x:f>
        <x:v>0.0030929867078908916</x:v>
      </x:c>
      <x:c r="O61" s="369" t="n">
        <x:f>IF(A61="","",AVERAGE(C61:N61))</x:f>
        <x:v>0.0007317289334964122</x:v>
      </x:c>
      <x:c r="P61" s="369" t="n">
        <x:f>IF(A61="","",SUMPRODUCT(C61:N61,'03_12_Errors'!$P$4:$AA$4)/SUM('03_12_Errors'!$P$4:$AA$4))</x:f>
        <x:v>0.000911220193057478</x:v>
      </x:c>
      <x:c r="Q61" s="369" t="n">
        <x:f>IF(A61="","",SQRT(SUMSQ(C61:N61)/12))</x:f>
        <x:v>0.0011880694351419177</x:v>
      </x:c>
      <x:c r="R61" s="369" t="n">
        <x:f>IF(A61="","",MAX(C61:N61))</x:f>
        <x:v>0.0030929867078908916</x:v>
      </x:c>
      <x:c r="S61" s="390" t="n">
        <x:f>IF(A61="","",COUNTIF(C61:N61,"&lt;="&amp;'00_Start'!$B$7))</x:f>
        <x:v>9</x:v>
      </x:c>
      <x:c r="T61" s="365" t="n">
        <x:f>IF(A61="","",0.5*TAN(RADIANS(A61)))</x:f>
        <x:v>0.6355578338007057</x:v>
      </x:c>
      <x:c r="U61" s="365" t="n">
        <x:f>IF(A61="","",0.5)</x:f>
        <x:v>0.5</x:v>
      </x:c>
      <x:c r="V61" s="365" t="n">
        <x:f>IF(A61="","",SQRT(2))</x:f>
        <x:v>1.4142135623730951</x:v>
      </x:c>
      <x:c r="W61" s="365" t="n">
        <x:f>IF(A61="","",SQRT(T61^2+U61^2))</x:f>
        <x:v>0.8086617093107881</x:v>
      </x:c>
      <x:c r="X61" s="365" t="n">
        <x:f>IF(A61="","",SQRT(T61^2+2*U61^2))</x:f>
        <x:v>0.9507543111158874</x:v>
      </x:c>
      <x:c r="Y61" s="127"/>
      <x:c r="Z61" s="127"/>
      <x:c r="AA61" s="127"/>
      <x:c r="AB61" s="127"/>
      <x:c r="AC61" s="127"/>
      <x:c r="AD61" s="127"/>
      <x:c r="AE61" s="127"/>
      <x:c r="AF61" s="127"/>
      <x:c r="AG61" s="127"/>
      <x:c r="AH61" s="127"/>
      <x:c r="AI61" s="127"/>
      <x:c r="AJ61" s="127"/>
      <x:c r="AK61" s="127"/>
      <x:c r="AL61" s="127"/>
    </x:row>
    <x:row r="62">
      <x:c r="A62" s="367" t="n">
        <x:f>IF(A61="","",IF(A61+'00_Start'!$B$12&lt;='00_Start'!$B$11,A61+'00_Start'!$B$12,""))</x:f>
        <x:v>51.808000000000135</x:v>
      </x:c>
      <x:c r="B62" s="367" t="n">
        <x:f>IF(A62="","",2/TAN(RADIANS(A62)))</x:f>
        <x:v>1.573392678086501</x:v>
      </x:c>
      <x:c r="C62" s="369" t="n">
        <x:f>IF($A62="","",ABS(2/T62-'02_Constants'!$D$6)/'02_Constants'!$D$6)</x:f>
        <x:v>0.0016528885682475423</x:v>
      </x:c>
      <x:c r="D62" s="369" t="n">
        <x:f>IF($A62="","",ABS(2/(T62+2*V62)-'02_Constants'!$D$7)/'02_Constants'!$D$7)</x:f>
        <x:v>0.0002635849269214662</x:v>
      </x:c>
      <x:c r="E62" s="369" t="n">
        <x:f>IF($A62="","",ABS((T62+2*V62)/2-'02_Constants'!$D$8)/'02_Constants'!$D$8)</x:f>
        <x:v>0.000030381085413236026</x:v>
      </x:c>
      <x:c r="F62" s="369" t="n">
        <x:f>IF($A62="","",ABS((T62+2*V62)/V62-'02_Constants'!$D$9)/'02_Constants'!$D$9)</x:f>
        <x:v>0.000030381085413265544</x:v>
      </x:c>
      <x:c r="G62" s="369" t="n">
        <x:f>IF($A62="","",ABS(V62-'02_Constants'!$D$10)/'02_Constants'!$D$10)</x:f>
        <x:v>0</x:v>
      </x:c>
      <x:c r="H62" s="369" t="n">
        <x:f>IF($A62="","",ABS((W62+1)/W62-'02_Constants'!$D$11)/'02_Constants'!$D$11)</x:f>
        <x:v>0.00023673185314483004</x:v>
      </x:c>
      <x:c r="I62" s="369" t="n">
        <x:f>IF($A62="","",ABS((U62+2*V62)/(W62+1)-'02_Constants'!$D$12)/'02_Constants'!$D$12)</x:f>
        <x:v>0.0005299901736756919</x:v>
      </x:c>
      <x:c r="J62" s="369" t="n">
        <x:f>IF($A62="","",ABS(X62/U62-'02_Constants'!$D$13)/'02_Constants'!$D$13)</x:f>
        <x:v>0.0003347254531585769</x:v>
      </x:c>
      <x:c r="K62" s="369" t="n">
        <x:f>IF($A62="","",ABS(W62/(W62+U62)-'02_Constants'!$D$14)/'02_Constants'!$D$14)</x:f>
        <x:v>0.000163550934129832</x:v>
      </x:c>
      <x:c r="L62" s="369" t="n">
        <x:f>IF($A62="","",ABS(W62/U62-'02_Constants'!$D$15)/'02_Constants'!$D$15)</x:f>
        <x:v>0.0004280686242278839</x:v>
      </x:c>
      <x:c r="M62" s="369" t="n">
        <x:f>IF($A62="","",ABS(2*A62/(90-A62)-'02_Constants'!$D$16)/'02_Constants'!$D$16)</x:f>
        <x:v>0.0019324419663699073</x:v>
      </x:c>
      <x:c r="N62" s="369" t="n">
        <x:f>IF($A62="","",ABS(2*A62/(90-A62)-1-'02_Constants'!$D$17)/'02_Constants'!$D$17)</x:f>
        <x:v>0.0030570781781739517</x:v>
      </x:c>
      <x:c r="O62" s="369" t="n">
        <x:f>IF(A62="","",AVERAGE(C62:N62))</x:f>
        <x:v>0.0007216519040730151</x:v>
      </x:c>
      <x:c r="P62" s="369" t="n">
        <x:f>IF(A62="","",SUMPRODUCT(C62:N62,'03_12_Errors'!$P$4:$AA$4)/SUM('03_12_Errors'!$P$4:$AA$4))</x:f>
        <x:v>0.0008994328506284299</x:v>
      </x:c>
      <x:c r="Q62" s="369" t="n">
        <x:f>IF(A62="","",SQRT(SUMSQ(C62:N62)/12))</x:f>
        <x:v>0.0011741091279803674</x:v>
      </x:c>
      <x:c r="R62" s="369" t="n">
        <x:f>IF(A62="","",MAX(C62:N62))</x:f>
        <x:v>0.0030570781781739517</x:v>
      </x:c>
      <x:c r="S62" s="390" t="n">
        <x:f>IF(A62="","",COUNTIF(C62:N62,"&lt;="&amp;'00_Start'!$B$7))</x:f>
        <x:v>9</x:v>
      </x:c>
      <x:c r="T62" s="365" t="n">
        <x:f>IF(A62="","",0.5*TAN(RADIANS(A62)))</x:f>
        <x:v>0.6355692472245142</x:v>
      </x:c>
      <x:c r="U62" s="365" t="n">
        <x:f>IF(A62="","",0.5)</x:f>
        <x:v>0.5</x:v>
      </x:c>
      <x:c r="V62" s="365" t="n">
        <x:f>IF(A62="","",SQRT(2))</x:f>
        <x:v>1.4142135623730951</x:v>
      </x:c>
      <x:c r="W62" s="365" t="n">
        <x:f>IF(A62="","",SQRT(T62^2+U62^2))</x:f>
        <x:v>0.8086706795831884</x:v>
      </x:c>
      <x:c r="X62" s="365" t="n">
        <x:f>IF(A62="","",SQRT(T62^2+2*U62^2))</x:f>
        <x:v>0.9507619407704201</x:v>
      </x:c>
      <x:c r="Y62" s="127"/>
      <x:c r="Z62" s="127"/>
      <x:c r="AA62" s="127"/>
      <x:c r="AB62" s="127"/>
      <x:c r="AC62" s="127"/>
      <x:c r="AD62" s="127"/>
      <x:c r="AE62" s="127"/>
      <x:c r="AF62" s="127"/>
      <x:c r="AG62" s="127"/>
      <x:c r="AH62" s="127"/>
      <x:c r="AI62" s="127"/>
      <x:c r="AJ62" s="127"/>
      <x:c r="AK62" s="127"/>
      <x:c r="AL62" s="127"/>
    </x:row>
    <x:row r="63">
      <x:c r="A63" s="367" t="n">
        <x:f>IF(A62="","",IF(A62+'00_Start'!$B$12&lt;='00_Start'!$B$11,A62+'00_Start'!$B$12,""))</x:f>
        <x:v>51.80850000000014</x:v>
      </x:c>
      <x:c r="B63" s="367" t="n">
        <x:f>IF(A63="","",2/TAN(RADIANS(A63)))</x:f>
        <x:v>1.5733644233000283</x:v>
      </x:c>
      <x:c r="C63" s="369" t="n">
        <x:f>IF($A63="","",ABS(2/T63-'02_Constants'!$D$6)/'02_Constants'!$D$6)</x:f>
        <x:v>0.001634901012514981</x:v>
      </x:c>
      <x:c r="D63" s="369" t="n">
        <x:f>IF($A63="","",ABS(2/(T63+2*V63)-'02_Constants'!$D$7)/'02_Constants'!$D$7)</x:f>
        <x:v>0.00026028912442812284</x:v>
      </x:c>
      <x:c r="E63" s="369" t="n">
        <x:f>IF($A63="","",ABS((T63+2*V63)/2-'02_Constants'!$D$8)/'02_Constants'!$D$8)</x:f>
        <x:v>0.000027086240662124795</x:v>
      </x:c>
      <x:c r="F63" s="369" t="n">
        <x:f>IF($A63="","",ABS((T63+2*V63)/V63-'02_Constants'!$D$9)/'02_Constants'!$D$9)</x:f>
        <x:v>0.000027086240662112344</x:v>
      </x:c>
      <x:c r="G63" s="369" t="n">
        <x:f>IF($A63="","",ABS(V63-'02_Constants'!$D$10)/'02_Constants'!$D$10)</x:f>
        <x:v>0</x:v>
      </x:c>
      <x:c r="H63" s="369" t="n">
        <x:f>IF($A63="","",ABS((W63+1)/W63-'02_Constants'!$D$11)/'02_Constants'!$D$11)</x:f>
        <x:v>0.00023059727031923743</x:v>
      </x:c>
      <x:c r="I63" s="369" t="n">
        <x:f>IF($A63="","",ABS((U63+2*V63)/(W63+1)-'02_Constants'!$D$12)/'02_Constants'!$D$12)</x:f>
        <x:v>0.0005250278315101969</x:v>
      </x:c>
      <x:c r="J63" s="369" t="n">
        <x:f>IF($A63="","",ABS(X63/U63-'02_Constants'!$D$13)/'02_Constants'!$D$13)</x:f>
        <x:v>0.000326703102513368</x:v>
      </x:c>
      <x:c r="K63" s="369" t="n">
        <x:f>IF($A63="","",ABS(W63/(W63+U63)-'02_Constants'!$D$14)/'02_Constants'!$D$14)</x:f>
        <x:v>0.00015931341012755053</x:v>
      </x:c>
      <x:c r="L63" s="369" t="n">
        <x:f>IF($A63="","",ABS(W63/U63-'02_Constants'!$D$15)/'02_Constants'!$D$15)</x:f>
        <x:v>0.0004169804356488038</x:v>
      </x:c>
      <x:c r="M63" s="369" t="n">
        <x:f>IF($A63="","",ABS(2*A63/(90-A63)-'02_Constants'!$D$16)/'02_Constants'!$D$16)</x:f>
        <x:v>0.0019097428521640616</x:v>
      </x:c>
      <x:c r="N63" s="369" t="n">
        <x:f>IF($A63="","",ABS(2*A63/(90-A63)-1-'02_Constants'!$D$17)/'02_Constants'!$D$17)</x:f>
        <x:v>0.003021168708233737</x:v>
      </x:c>
      <x:c r="O63" s="369" t="n">
        <x:f>IF(A63="","",AVERAGE(C63:N63))</x:f>
        <x:v>0.0007115746857320246</x:v>
      </x:c>
      <x:c r="P63" s="369" t="n">
        <x:f>IF(A63="","",SUMPRODUCT(C63:N63,'03_12_Errors'!$P$4:$AA$4)/SUM('03_12_Errors'!$P$4:$AA$4))</x:f>
        <x:v>0.0008876453278922384</x:v>
      </x:c>
      <x:c r="Q63" s="369" t="n">
        <x:f>IF(A63="","",SQRT(SUMSQ(C63:N63)/12))</x:f>
        <x:v>0.001160154978561704</x:v>
      </x:c>
      <x:c r="R63" s="369" t="n">
        <x:f>IF(A63="","",MAX(C63:N63))</x:f>
        <x:v>0.003021168708233737</x:v>
      </x:c>
      <x:c r="S63" s="390" t="n">
        <x:f>IF(A63="","",COUNTIF(C63:N63,"&lt;="&amp;'00_Start'!$B$7))</x:f>
        <x:v>9</x:v>
      </x:c>
      <x:c r="T63" s="365" t="n">
        <x:f>IF(A63="","",0.5*TAN(RADIANS(A63)))</x:f>
        <x:v>0.6355806609015385</x:v>
      </x:c>
      <x:c r="U63" s="365" t="n">
        <x:f>IF(A63="","",0.5)</x:f>
        <x:v>0.5</x:v>
      </x:c>
      <x:c r="V63" s="365" t="n">
        <x:f>IF(A63="","",SQRT(2))</x:f>
        <x:v>1.4142135623730951</x:v>
      </x:c>
      <x:c r="W63" s="365" t="n">
        <x:f>IF(A63="","",SQRT(T63^2+U63^2))</x:f>
        <x:v>0.8086796501161857</x:v>
      </x:c>
      <x:c r="X63" s="365" t="n">
        <x:f>IF(A63="","",SQRT(T63^2+2*U63^2))</x:f>
        <x:v>0.9507695706700107</x:v>
      </x:c>
      <x:c r="Y63" s="127"/>
      <x:c r="Z63" s="127"/>
      <x:c r="AA63" s="127"/>
      <x:c r="AB63" s="127"/>
      <x:c r="AC63" s="127"/>
      <x:c r="AD63" s="127"/>
      <x:c r="AE63" s="127"/>
      <x:c r="AF63" s="127"/>
      <x:c r="AG63" s="127"/>
      <x:c r="AH63" s="127"/>
      <x:c r="AI63" s="127"/>
      <x:c r="AJ63" s="127"/>
      <x:c r="AK63" s="127"/>
      <x:c r="AL63" s="127"/>
    </x:row>
    <x:row r="64">
      <x:c r="A64" s="367" t="n">
        <x:f>IF(A63="","",IF(A63+'00_Start'!$B$12&lt;='00_Start'!$B$11,A63+'00_Start'!$B$12,""))</x:f>
        <x:v>51.80900000000014</x:v>
      </x:c>
      <x:c r="B64" s="367" t="n">
        <x:f>IF(A64="","",2/TAN(RADIANS(A64)))</x:f>
        <x:v>1.5733361689014964</x:v>
      </x:c>
      <x:c r="C64" s="369" t="n">
        <x:f>IF($A64="","",ABS(2/T64-'02_Constants'!$D$6)/'02_Constants'!$D$6)</x:f>
        <x:v>0.0016169137037531976</x:v>
      </x:c>
      <x:c r="D64" s="369" t="n">
        <x:f>IF($A64="","",ABS(2/(T64+2*V64)-'02_Constants'!$D$7)/'02_Constants'!$D$7)</x:f>
        <x:v>0.0002569932705325792</x:v>
      </x:c>
      <x:c r="E64" s="369" t="n">
        <x:f>IF($A64="","",ABS((T64+2*V64)/2-'02_Constants'!$D$8)/'02_Constants'!$D$8)</x:f>
        <x:v>0.00002379132281074082</x:v>
      </x:c>
      <x:c r="F64" s="369" t="n">
        <x:f>IF($A64="","",ABS((T64+2*V64)/V64-'02_Constants'!$D$9)/'02_Constants'!$D$9)</x:f>
        <x:v>0.000023791322810795242</x:v>
      </x:c>
      <x:c r="G64" s="369" t="n">
        <x:f>IF($A64="","",ABS(V64-'02_Constants'!$D$10)/'02_Constants'!$D$10)</x:f>
        <x:v>0</x:v>
      </x:c>
      <x:c r="H64" s="369" t="n">
        <x:f>IF($A64="","",ABS((W64+1)/W64-'02_Constants'!$D$11)/'02_Constants'!$D$11)</x:f>
        <x:v>0.000224462645379141</x:v>
      </x:c>
      <x:c r="I64" s="369" t="n">
        <x:f>IF($A64="","",ABS((U64+2*V64)/(W64+1)-'02_Constants'!$D$12)/'02_Constants'!$D$12)</x:f>
        <x:v>0.0005200653944067606</x:v>
      </x:c>
      <x:c r="J64" s="369" t="n">
        <x:f>IF($A64="","",ABS(X64/U64-'02_Constants'!$D$13)/'02_Constants'!$D$13)</x:f>
        <x:v>0.00031868049419454185</x:v>
      </x:c>
      <x:c r="K64" s="369" t="n">
        <x:f>IF($A64="","",ABS(W64/(W64+U64)-'02_Constants'!$D$14)/'02_Constants'!$D$14)</x:f>
        <x:v>0.00015507582111468722</x:v>
      </x:c>
      <x:c r="L64" s="369" t="n">
        <x:f>IF($A64="","",ABS(W64/U64-'02_Constants'!$D$15)/'02_Constants'!$D$15)</x:f>
        <x:v>0.000405891924941506</x:v>
      </x:c>
      <x:c r="M64" s="369" t="n">
        <x:f>IF($A64="","",ABS(2*A64/(90-A64)-'02_Constants'!$D$16)/'02_Constants'!$D$16)</x:f>
        <x:v>0.001887043143600392</x:v>
      </x:c>
      <x:c r="N64" s="369" t="n">
        <x:f>IF($A64="","",ABS(2*A64/(90-A64)-1-'02_Constants'!$D$17)/'02_Constants'!$D$17)</x:f>
        <x:v>0.0029852582980332896</x:v>
      </x:c>
      <x:c r="O64" s="369" t="n">
        <x:f>IF(A64="","",AVERAGE(C64:N64))</x:f>
        <x:v>0.0007014972784648026</x:v>
      </x:c>
      <x:c r="P64" s="369" t="n">
        <x:f>IF(A64="","",SUMPRODUCT(C64:N64,'03_12_Errors'!$P$4:$AA$4)/SUM('03_12_Errors'!$P$4:$AA$4))</x:f>
        <x:v>0.0008758576248390818</x:v>
      </x:c>
      <x:c r="Q64" s="369" t="n">
        <x:f>IF(A64="","",SQRT(SUMSQ(C64:N64)/12))</x:f>
        <x:v>0.0011462072226983073</x:v>
      </x:c>
      <x:c r="R64" s="369" t="n">
        <x:f>IF(A64="","",MAX(C64:N64))</x:f>
        <x:v>0.0029852582980332896</x:v>
      </x:c>
      <x:c r="S64" s="390" t="n">
        <x:f>IF(A64="","",COUNTIF(C64:N64,"&lt;="&amp;'00_Start'!$B$7))</x:f>
        <x:v>9</x:v>
      </x:c>
      <x:c r="T64" s="365" t="n">
        <x:f>IF(A64="","",0.5*TAN(RADIANS(A64)))</x:f>
        <x:v>0.6355920748317889</x:v>
      </x:c>
      <x:c r="U64" s="365" t="n">
        <x:f>IF(A64="","",0.5)</x:f>
        <x:v>0.5</x:v>
      </x:c>
      <x:c r="V64" s="365" t="n">
        <x:f>IF(A64="","",SQRT(2))</x:f>
        <x:v>1.4142135623730951</x:v>
      </x:c>
      <x:c r="W64" s="365" t="n">
        <x:f>IF(A64="","",SQRT(T64^2+U64^2))</x:f>
        <x:v>0.8086886209097902</x:v>
      </x:c>
      <x:c r="X64" s="365" t="n">
        <x:f>IF(A64="","",SQRT(T64^2+2*U64^2))</x:f>
        <x:v>0.9507772008146695</x:v>
      </x:c>
      <x:c r="Y64" s="127"/>
      <x:c r="Z64" s="127"/>
      <x:c r="AA64" s="127"/>
      <x:c r="AB64" s="127"/>
      <x:c r="AC64" s="127"/>
      <x:c r="AD64" s="127"/>
      <x:c r="AE64" s="127"/>
      <x:c r="AF64" s="127"/>
      <x:c r="AG64" s="127"/>
      <x:c r="AH64" s="127"/>
      <x:c r="AI64" s="127"/>
      <x:c r="AJ64" s="127"/>
      <x:c r="AK64" s="127"/>
      <x:c r="AL64" s="127"/>
    </x:row>
    <x:row r="65">
      <x:c r="A65" s="367" t="n">
        <x:f>IF(A64="","",IF(A64+'00_Start'!$B$12&lt;='00_Start'!$B$11,A64+'00_Start'!$B$12,""))</x:f>
        <x:v>51.80950000000014</x:v>
      </x:c>
      <x:c r="B65" s="367" t="n">
        <x:f>IF(A65="","",2/TAN(RADIANS(A65)))</x:f>
        <x:v>1.573307914890893</x:v>
      </x:c>
      <x:c r="C65" s="369" t="n">
        <x:f>IF($A65="","",ABS(2/T65-'02_Constants'!$D$6)/'02_Constants'!$D$6)</x:f>
        <x:v>0.0015989266419544174</x:v>
      </x:c>
      <x:c r="D65" s="369" t="n">
        <x:f>IF($A65="","",ABS(2/(T65+2*V65)-'02_Constants'!$D$7)/'02_Constants'!$D$7)</x:f>
        <x:v>0.00025369736523406586</x:v>
      </x:c>
      <x:c r="E65" s="369" t="n">
        <x:f>IF($A65="","",ABS((T65+2*V65)/2-'02_Constants'!$D$8)/'02_Constants'!$D$8)</x:f>
        <x:v>0.000020496331856520144</x:v>
      </x:c>
      <x:c r="F65" s="369" t="n">
        <x:f>IF($A65="","",ABS((T65+2*V65)/V65-'02_Constants'!$D$9)/'02_Constants'!$D$9)</x:f>
        <x:v>0.000020496331856594757</x:v>
      </x:c>
      <x:c r="G65" s="369" t="n">
        <x:f>IF($A65="","",ABS(V65-'02_Constants'!$D$10)/'02_Constants'!$D$10)</x:f>
        <x:v>0</x:v>
      </x:c>
      <x:c r="H65" s="369" t="n">
        <x:f>IF($A65="","",ABS((W65+1)/W65-'02_Constants'!$D$11)/'02_Constants'!$D$11)</x:f>
        <x:v>0.00021832797832493803</x:v>
      </x:c>
      <x:c r="I65" s="369" t="n">
        <x:f>IF($A65="","",ABS((U65+2*V65)/(W65+1)-'02_Constants'!$D$12)/'02_Constants'!$D$12)</x:f>
        <x:v>0.0005151028623635723</x:v>
      </x:c>
      <x:c r="J65" s="369" t="n">
        <x:f>IF($A65="","",ABS(X65/U65-'02_Constants'!$D$13)/'02_Constants'!$D$13)</x:f>
        <x:v>0.00031065762819194274</x:v>
      </x:c>
      <x:c r="K65" s="369" t="n">
        <x:f>IF($A65="","",ABS(W65/(W65+U65)-'02_Constants'!$D$14)/'02_Constants'!$D$14)</x:f>
        <x:v>0.00015083816708998457</x:v>
      </x:c>
      <x:c r="L65" s="369" t="n">
        <x:f>IF($A65="","",ABS(W65/U65-'02_Constants'!$D$15)/'02_Constants'!$D$15)</x:f>
        <x:v>0.00039480309209363973</x:v>
      </x:c>
      <x:c r="M65" s="369" t="n">
        <x:f>IF($A65="","",ABS(2*A65/(90-A65)-'02_Constants'!$D$16)/'02_Constants'!$D$16)</x:f>
        <x:v>0.001864342840655863</x:v>
      </x:c>
      <x:c r="N65" s="369" t="n">
        <x:f>IF($A65="","",ABS(2*A65/(90-A65)-1-'02_Constants'!$D$17)/'02_Constants'!$D$17)</x:f>
        <x:v>0.0029493469475361674</x:v>
      </x:c>
      <x:c r="O65" s="369" t="n">
        <x:f>IF(A65="","",AVERAGE(C65:N65))</x:f>
        <x:v>0.0006914196822631422</x:v>
      </x:c>
      <x:c r="P65" s="369" t="n">
        <x:f>IF(A65="","",SUMPRODUCT(C65:N65,'03_12_Errors'!$P$4:$AA$4)/SUM('03_12_Errors'!$P$4:$AA$4))</x:f>
        <x:v>0.0008640697414596439</x:v>
      </x:c>
      <x:c r="Q65" s="369" t="n">
        <x:f>IF(A65="","",SQRT(SUMSQ(C65:N65)/12))</x:f>
        <x:v>0.0011322661077175194</x:v>
      </x:c>
      <x:c r="R65" s="369" t="n">
        <x:f>IF(A65="","",MAX(C65:N65))</x:f>
        <x:v>0.0029493469475361674</x:v>
      </x:c>
      <x:c r="S65" s="390" t="n">
        <x:f>IF(A65="","",COUNTIF(C65:N65,"&lt;="&amp;'00_Start'!$B$7))</x:f>
        <x:v>9</x:v>
      </x:c>
      <x:c r="T65" s="365" t="n">
        <x:f>IF(A65="","",0.5*TAN(RADIANS(A65)))</x:f>
        <x:v>0.6356034890152756</x:v>
      </x:c>
      <x:c r="U65" s="365" t="n">
        <x:f>IF(A65="","",0.5)</x:f>
        <x:v>0.5</x:v>
      </x:c>
      <x:c r="V65" s="365" t="n">
        <x:f>IF(A65="","",SQRT(2))</x:f>
        <x:v>1.4142135623730951</x:v>
      </x:c>
      <x:c r="W65" s="365" t="n">
        <x:f>IF(A65="","",SQRT(T65^2+U65^2))</x:f>
        <x:v>0.8086975919640119</x:v>
      </x:c>
      <x:c r="X65" s="365" t="n">
        <x:f>IF(A65="","",SQRT(T65^2+2*U65^2))</x:f>
        <x:v>0.9507848312044064</x:v>
      </x:c>
      <x:c r="Y65" s="127"/>
      <x:c r="Z65" s="127"/>
      <x:c r="AA65" s="127"/>
      <x:c r="AB65" s="127"/>
      <x:c r="AC65" s="127"/>
      <x:c r="AD65" s="127"/>
      <x:c r="AE65" s="127"/>
      <x:c r="AF65" s="127"/>
      <x:c r="AG65" s="127"/>
      <x:c r="AH65" s="127"/>
      <x:c r="AI65" s="127"/>
      <x:c r="AJ65" s="127"/>
      <x:c r="AK65" s="127"/>
      <x:c r="AL65" s="127"/>
    </x:row>
    <x:row r="66">
      <x:c r="A66" s="367" t="n">
        <x:f>IF(A65="","",IF(A65+'00_Start'!$B$12&lt;='00_Start'!$B$11,A65+'00_Start'!$B$12,""))</x:f>
        <x:v>51.810000000000144</x:v>
      </x:c>
      <x:c r="B66" s="367" t="n">
        <x:f>IF(A66="","",2/TAN(RADIANS(A66)))</x:f>
        <x:v>1.5732796612682065</x:v>
      </x:c>
      <x:c r="C66" s="369" t="n">
        <x:f>IF($A66="","",ABS(2/T66-'02_Constants'!$D$6)/'02_Constants'!$D$6)</x:f>
        <x:v>0.0015809398271111482</x:v>
      </x:c>
      <x:c r="D66" s="369" t="n">
        <x:f>IF($A66="","",ABS(2/(T66+2*V66)-'02_Constants'!$D$7)/'02_Constants'!$D$7)</x:f>
        <x:v>0.00025040140853008246</x:v>
      </x:c>
      <x:c r="E66" s="369" t="n">
        <x:f>IF($A66="","",ABS((T66+2*V66)/2-'02_Constants'!$D$8)/'02_Constants'!$D$8)</x:f>
        <x:v>0.00001720126779625784</x:v>
      </x:c>
      <x:c r="F66" s="369" t="n">
        <x:f>IF($A66="","",ABS((T66+2*V66)/V66-'02_Constants'!$D$9)/'02_Constants'!$D$9)</x:f>
        <x:v>0.000017201267796247512</x:v>
      </x:c>
      <x:c r="G66" s="369" t="n">
        <x:f>IF($A66="","",ABS(V66-'02_Constants'!$D$10)/'02_Constants'!$D$10)</x:f>
        <x:v>0</x:v>
      </x:c>
      <x:c r="H66" s="369" t="n">
        <x:f>IF($A66="","",ABS((W66+1)/W66-'02_Constants'!$D$11)/'02_Constants'!$D$11)</x:f>
        <x:v>0.00021219326915662844</x:v>
      </x:c>
      <x:c r="I66" s="369" t="n">
        <x:f>IF($A66="","",ABS((U66+2*V66)/(W66+1)-'02_Constants'!$D$12)/'02_Constants'!$D$12)</x:f>
        <x:v>0.0005101402353787004</x:v>
      </x:c>
      <x:c r="J66" s="369" t="n">
        <x:f>IF($A66="","",ABS(X66/U66-'02_Constants'!$D$13)/'02_Constants'!$D$13)</x:f>
        <x:v>0.0003026345044948312</x:v>
      </x:c>
      <x:c r="K66" s="369" t="n">
        <x:f>IF($A66="","",ABS(W66/(W66+U66)-'02_Constants'!$D$14)/'02_Constants'!$D$14)</x:f>
        <x:v>0.00014660044805290368</x:v>
      </x:c>
      <x:c r="L66" s="369" t="n">
        <x:f>IF($A66="","",ABS(W66/U66-'02_Constants'!$D$15)/'02_Constants'!$D$15)</x:f>
        <x:v>0.00038371393709271694</x:v>
      </x:c>
      <x:c r="M66" s="369" t="n">
        <x:f>IF($A66="","",ABS(2*A66/(90-A66)-'02_Constants'!$D$16)/'02_Constants'!$D$16)</x:f>
        <x:v>0.001841641943306949</x:v>
      </x:c>
      <x:c r="N66" s="369" t="n">
        <x:f>IF($A66="","",ABS(2*A66/(90-A66)-1-'02_Constants'!$D$17)/'02_Constants'!$D$17)</x:f>
        <x:v>0.002913434656705154</x:v>
      </x:c>
      <x:c r="O66" s="369" t="n">
        <x:f>IF(A66="","",AVERAGE(C66:N66))</x:f>
        <x:v>0.0006813418971184683</x:v>
      </x:c>
      <x:c r="P66" s="369" t="n">
        <x:f>IF(A66="","",SUMPRODUCT(C66:N66,'03_12_Errors'!$P$4:$AA$4)/SUM('03_12_Errors'!$P$4:$AA$4))</x:f>
        <x:v>0.0008522816777442795</x:v>
      </x:c>
      <x:c r="Q66" s="369" t="n">
        <x:f>IF(A66="","",SQRT(SUMSQ(C66:N66)/12))</x:f>
        <x:v>0.001118331893164722</x:v>
      </x:c>
      <x:c r="R66" s="369" t="n">
        <x:f>IF(A66="","",MAX(C66:N66))</x:f>
        <x:v>0.002913434656705154</x:v>
      </x:c>
      <x:c r="S66" s="390" t="n">
        <x:f>IF(A66="","",COUNTIF(C66:N66,"&lt;="&amp;'00_Start'!$B$7))</x:f>
        <x:v>9</x:v>
      </x:c>
      <x:c r="T66" s="365" t="n">
        <x:f>IF(A66="","",0.5*TAN(RADIANS(A66)))</x:f>
        <x:v>0.6356149034520087</x:v>
      </x:c>
      <x:c r="U66" s="365" t="n">
        <x:f>IF(A66="","",0.5)</x:f>
        <x:v>0.5</x:v>
      </x:c>
      <x:c r="V66" s="365" t="n">
        <x:f>IF(A66="","",SQRT(2))</x:f>
        <x:v>1.4142135623730951</x:v>
      </x:c>
      <x:c r="W66" s="365" t="n">
        <x:f>IF(A66="","",SQRT(T66^2+U66^2))</x:f>
        <x:v>0.8087065632788609</x:v>
      </x:c>
      <x:c r="X66" s="365" t="n">
        <x:f>IF(A66="","",SQRT(T66^2+2*U66^2))</x:f>
        <x:v>0.9507924618392314</x:v>
      </x:c>
      <x:c r="Y66" s="127"/>
      <x:c r="Z66" s="127"/>
      <x:c r="AA66" s="127"/>
      <x:c r="AB66" s="127"/>
      <x:c r="AC66" s="127"/>
      <x:c r="AD66" s="127"/>
      <x:c r="AE66" s="127"/>
      <x:c r="AF66" s="127"/>
      <x:c r="AG66" s="127"/>
      <x:c r="AH66" s="127"/>
      <x:c r="AI66" s="127"/>
      <x:c r="AJ66" s="127"/>
      <x:c r="AK66" s="127"/>
      <x:c r="AL66" s="127"/>
    </x:row>
    <x:row r="67">
      <x:c r="A67" s="367" t="n">
        <x:f>IF(A66="","",IF(A66+'00_Start'!$B$12&lt;='00_Start'!$B$11,A66+'00_Start'!$B$12,""))</x:f>
        <x:v>51.81050000000015</x:v>
      </x:c>
      <x:c r="B67" s="367" t="n">
        <x:f>IF(A67="","",2/TAN(RADIANS(A67)))</x:f>
        <x:v>1.5732514080334241</x:v>
      </x:c>
      <x:c r="C67" s="369" t="n">
        <x:f>IF($A67="","",ABS(2/T67-'02_Constants'!$D$6)/'02_Constants'!$D$6)</x:f>
        <x:v>0.001562953259215333</x:v>
      </x:c>
      <x:c r="D67" s="369" t="n">
        <x:f>IF($A67="","",ABS(2/(T67+2*V67)-'02_Constants'!$D$7)/'02_Constants'!$D$7)</x:f>
        <x:v>0.00024710540041909026</x:v>
      </x:c>
      <x:c r="E67" s="369" t="n">
        <x:f>IF($A67="","",ABS((T67+2*V67)/2-'02_Constants'!$D$8)/'02_Constants'!$D$8)</x:f>
        <x:v>0.000013906130627133552</x:v>
      </x:c>
      <x:c r="F67" s="369" t="n">
        <x:f>IF($A67="","",ABS((T67+2*V67)/V67-'02_Constants'!$D$9)/'02_Constants'!$D$9)</x:f>
        <x:v>0.000013906130627215323</x:v>
      </x:c>
      <x:c r="G67" s="369" t="n">
        <x:f>IF($A67="","",ABS(V67-'02_Constants'!$D$10)/'02_Constants'!$D$10)</x:f>
        <x:v>0</x:v>
      </x:c>
      <x:c r="H67" s="369" t="n">
        <x:f>IF($A67="","",ABS((W67+1)/W67-'02_Constants'!$D$11)/'02_Constants'!$D$11)</x:f>
        <x:v>0.0002060585178754039</x:v>
      </x:c>
      <x:c r="I67" s="369" t="n">
        <x:f>IF($A67="","",ABS((U67+2*V67)/(W67+1)-'02_Constants'!$D$12)/'02_Constants'!$D$12)</x:f>
        <x:v>0.0005051775134497305</x:v>
      </x:c>
      <x:c r="J67" s="369" t="n">
        <x:f>IF($A67="","",ABS(X67/U67-'02_Constants'!$D$13)/'02_Constants'!$D$13)</x:f>
        <x:v>0.0002946111230927013</x:v>
      </x:c>
      <x:c r="K67" s="369" t="n">
        <x:f>IF($A67="","",ABS(W67/(W67+U67)-'02_Constants'!$D$14)/'02_Constants'!$D$14)</x:f>
        <x:v>0.00014236266400254638</x:v>
      </x:c>
      <x:c r="L67" s="369" t="n">
        <x:f>IF($A67="","",ABS(W67/U67-'02_Constants'!$D$15)/'02_Constants'!$D$15)</x:f>
        <x:v>0.0003726244599263868</x:v>
      </x:c>
      <x:c r="M67" s="369" t="n">
        <x:f>IF($A67="","",ABS(2*A67/(90-A67)-'02_Constants'!$D$16)/'02_Constants'!$D$16)</x:f>
        <x:v>0.0018189404515302884</x:v>
      </x:c>
      <x:c r="N67" s="369" t="n">
        <x:f>IF($A67="","",ABS(2*A67/(90-A67)-1-'02_Constants'!$D$17)/'02_Constants'!$D$17)</x:f>
        <x:v>0.0028775214255032915</x:v>
      </x:c>
      <x:c r="O67" s="369" t="n">
        <x:f>IF(A67="","",AVERAGE(C67:N67))</x:f>
        <x:v>0.0006712639230224268</x:v>
      </x:c>
      <x:c r="P67" s="369" t="n">
        <x:f>IF(A67="","",SUMPRODUCT(C67:N67,'03_12_Errors'!$P$4:$AA$4)/SUM('03_12_Errors'!$P$4:$AA$4))</x:f>
        <x:v>0.0008404934336834134</x:v>
      </x:c>
      <x:c r="Q67" s="369" t="n">
        <x:f>IF(A67="","",SQRT(SUMSQ(C67:N67)/12))</x:f>
        <x:v>0.001104404851558876</x:v>
      </x:c>
      <x:c r="R67" s="369" t="n">
        <x:f>IF(A67="","",MAX(C67:N67))</x:f>
        <x:v>0.0028775214255032915</x:v>
      </x:c>
      <x:c r="S67" s="390" t="n">
        <x:f>IF(A67="","",COUNTIF(C67:N67,"&lt;="&amp;'00_Start'!$B$7))</x:f>
        <x:v>9</x:v>
      </x:c>
      <x:c r="T67" s="365" t="n">
        <x:f>IF(A67="","",0.5*TAN(RADIANS(A67)))</x:f>
        <x:v>0.6356263181419983</x:v>
      </x:c>
      <x:c r="U67" s="365" t="n">
        <x:f>IF(A67="","",0.5)</x:f>
        <x:v>0.5</x:v>
      </x:c>
      <x:c r="V67" s="365" t="n">
        <x:f>IF(A67="","",SQRT(2))</x:f>
        <x:v>1.4142135623730951</x:v>
      </x:c>
      <x:c r="W67" s="365" t="n">
        <x:f>IF(A67="","",SQRT(T67^2+U67^2))</x:f>
        <x:v>0.8087155348543472</x:v>
      </x:c>
      <x:c r="X67" s="365" t="n">
        <x:f>IF(A67="","",SQRT(T67^2+2*U67^2))</x:f>
        <x:v>0.9508000927191546</x:v>
      </x:c>
      <x:c r="Y67" s="127"/>
      <x:c r="Z67" s="127"/>
      <x:c r="AA67" s="127"/>
      <x:c r="AB67" s="127"/>
      <x:c r="AC67" s="127"/>
      <x:c r="AD67" s="127"/>
      <x:c r="AE67" s="127"/>
      <x:c r="AF67" s="127"/>
      <x:c r="AG67" s="127"/>
      <x:c r="AH67" s="127"/>
      <x:c r="AI67" s="127"/>
      <x:c r="AJ67" s="127"/>
      <x:c r="AK67" s="127"/>
      <x:c r="AL67" s="127"/>
    </x:row>
    <x:row r="68">
      <x:c r="A68" s="367" t="n">
        <x:f>IF(A67="","",IF(A67+'00_Start'!$B$12&lt;='00_Start'!$B$11,A67+'00_Start'!$B$12,""))</x:f>
        <x:v>51.81100000000015</x:v>
      </x:c>
      <x:c r="B68" s="367" t="n">
        <x:f>IF(A68="","",2/TAN(RADIANS(A68)))</x:f>
        <x:v>1.5732231551865337</x:v>
      </x:c>
      <x:c r="C68" s="369" t="n">
        <x:f>IF($A68="","",ABS(2/T68-'02_Constants'!$D$6)/'02_Constants'!$D$6)</x:f>
        <x:v>0.0015449669382591965</x:v>
      </x:c>
      <x:c r="D68" s="369" t="n">
        <x:f>IF($A68="","",ABS(2/(T68+2*V68)-'02_Constants'!$D$7)/'02_Constants'!$D$7)</x:f>
        <x:v>0.00024380934089974278</x:v>
      </x:c>
      <x:c r="E68" s="369" t="n">
        <x:f>IF($A68="","",ABS((T68+2*V68)/2-'02_Constants'!$D$8)/'02_Constants'!$D$8)</x:f>
        <x:v>0.000010610920346198746</x:v>
      </x:c>
      <x:c r="F68" s="369" t="n">
        <x:f>IF($A68="","",ABS((T68+2*V68)/V68-'02_Constants'!$D$9)/'02_Constants'!$D$9)</x:f>
        <x:v>0.000010610920346234817</x:v>
      </x:c>
      <x:c r="G68" s="369" t="n">
        <x:f>IF($A68="","",ABS(V68-'02_Constants'!$D$10)/'02_Constants'!$D$10)</x:f>
        <x:v>0</x:v>
      </x:c>
      <x:c r="H68" s="369" t="n">
        <x:f>IF($A68="","",ABS((W68+1)/W68-'02_Constants'!$D$11)/'02_Constants'!$D$11)</x:f>
        <x:v>0.0001999237244812644</x:v>
      </x:c>
      <x:c r="I68" s="369" t="n">
        <x:f>IF($A68="","",ABS((U68+2*V68)/(W68+1)-'02_Constants'!$D$12)/'02_Constants'!$D$12)</x:f>
        <x:v>0.0005002146965749724</x:v>
      </x:c>
      <x:c r="J68" s="369" t="n">
        <x:f>IF($A68="","",ABS(X68/U68-'02_Constants'!$D$13)/'02_Constants'!$D$13)</x:f>
        <x:v>0.00028658748397516386</x:v>
      </x:c>
      <x:c r="K68" s="369" t="n">
        <x:f>IF($A68="","",ABS(W68/(W68+U68)-'02_Constants'!$D$14)/'02_Constants'!$D$14)</x:f>
        <x:v>0.00013812481493801447</x:v>
      </x:c>
      <x:c r="L68" s="369" t="n">
        <x:f>IF($A68="","",ABS(W68/U68-'02_Constants'!$D$15)/'02_Constants'!$D$15)</x:f>
        <x:v>0.00036153466058229855</x:v>
      </x:c>
      <x:c r="M68" s="369" t="n">
        <x:f>IF($A68="","",ABS(2*A68/(90-A68)-'02_Constants'!$D$16)/'02_Constants'!$D$16)</x:f>
        <x:v>0.001796238365302682</x:v>
      </x:c>
      <x:c r="N68" s="369" t="n">
        <x:f>IF($A68="","",ABS(2*A68/(90-A68)-1-'02_Constants'!$D$17)/'02_Constants'!$D$17)</x:f>
        <x:v>0.002841607253893879</x:v>
      </x:c>
      <x:c r="O68" s="369" t="n">
        <x:f>IF(A68="","",AVERAGE(C68:N68))</x:f>
        <x:v>0.0006611857599666373</x:v>
      </x:c>
      <x:c r="P68" s="369" t="n">
        <x:f>IF(A68="","",SUMPRODUCT(C68:N68,'03_12_Errors'!$P$4:$AA$4)/SUM('03_12_Errors'!$P$4:$AA$4))</x:f>
        <x:v>0.0008287050092675885</x:v>
      </x:c>
      <x:c r="Q68" s="369" t="n">
        <x:f>IF(A68="","",SQRT(SUMSQ(C68:N68)/12))</x:f>
        <x:v>0.0010904852692038838</x:v>
      </x:c>
      <x:c r="R68" s="369" t="n">
        <x:f>IF(A68="","",MAX(C68:N68))</x:f>
        <x:v>0.002841607253893879</x:v>
      </x:c>
      <x:c r="S68" s="390" t="n">
        <x:f>IF(A68="","",COUNTIF(C68:N68,"&lt;="&amp;'00_Start'!$B$7))</x:f>
        <x:v>9</x:v>
      </x:c>
      <x:c r="T68" s="365" t="n">
        <x:f>IF(A68="","",0.5*TAN(RADIANS(A68)))</x:f>
        <x:v>0.6356377330852546</x:v>
      </x:c>
      <x:c r="U68" s="365" t="n">
        <x:f>IF(A68="","",0.5)</x:f>
        <x:v>0.5</x:v>
      </x:c>
      <x:c r="V68" s="365" t="n">
        <x:f>IF(A68="","",SQRT(2))</x:f>
        <x:v>1.4142135623730951</x:v>
      </x:c>
      <x:c r="W68" s="365" t="n">
        <x:f>IF(A68="","",SQRT(T68^2+U68^2))</x:f>
        <x:v>0.8087245066904808</x:v>
      </x:c>
      <x:c r="X68" s="365" t="n">
        <x:f>IF(A68="","",SQRT(T68^2+2*U68^2))</x:f>
        <x:v>0.9508077238441858</x:v>
      </x:c>
      <x:c r="Y68" s="127"/>
      <x:c r="Z68" s="127"/>
      <x:c r="AA68" s="127"/>
      <x:c r="AB68" s="127"/>
      <x:c r="AC68" s="127"/>
      <x:c r="AD68" s="127"/>
      <x:c r="AE68" s="127"/>
      <x:c r="AF68" s="127"/>
      <x:c r="AG68" s="127"/>
      <x:c r="AH68" s="127"/>
      <x:c r="AI68" s="127"/>
      <x:c r="AJ68" s="127"/>
      <x:c r="AK68" s="127"/>
      <x:c r="AL68" s="127"/>
    </x:row>
    <x:row r="69">
      <x:c r="A69" s="367" t="n">
        <x:f>IF(A68="","",IF(A68+'00_Start'!$B$12&lt;='00_Start'!$B$11,A68+'00_Start'!$B$12,""))</x:f>
        <x:v>51.81150000000015</x:v>
      </x:c>
      <x:c r="B69" s="367" t="n">
        <x:f>IF(A69="","",2/TAN(RADIANS(A69)))</x:f>
        <x:v>1.5731949027275225</x:v>
      </x:c>
      <x:c r="C69" s="369" t="n">
        <x:f>IF($A69="","",ABS(2/T69-'02_Constants'!$D$6)/'02_Constants'!$D$6)</x:f>
        <x:v>0.001526980864234682</x:v>
      </x:c>
      <x:c r="D69" s="369" t="n">
        <x:f>IF($A69="","",ABS(2/(T69+2*V69)-'02_Constants'!$D$7)/'02_Constants'!$D$7)</x:f>
        <x:v>0.0002405132299701167</x:v>
      </x:c>
      <x:c r="E69" s="369" t="n">
        <x:f>IF($A69="","",ABS((T69+2*V69)/2-'02_Constants'!$D$8)/'02_Constants'!$D$8)</x:f>
        <x:v>0.000007315636950504874</x:v>
      </x:c>
      <x:c r="F69" s="369" t="n">
        <x:f>IF($A69="","",ABS((T69+2*V69)/V69-'02_Constants'!$D$9)/'02_Constants'!$D$9)</x:f>
        <x:v>0.0000073156369505865156</x:v>
      </x:c>
      <x:c r="G69" s="369" t="n">
        <x:f>IF($A69="","",ABS(V69-'02_Constants'!$D$10)/'02_Constants'!$D$10)</x:f>
        <x:v>0</x:v>
      </x:c>
      <x:c r="H69" s="369" t="n">
        <x:f>IF($A69="","",ABS((W69+1)/W69-'02_Constants'!$D$11)/'02_Constants'!$D$11)</x:f>
        <x:v>0.00019378888897480574</x:v>
      </x:c>
      <x:c r="I69" s="369" t="n">
        <x:f>IF($A69="","",ABS((U69+2*V69)/(W69+1)-'02_Constants'!$D$12)/'02_Constants'!$D$12)</x:f>
        <x:v>0.0004952517847526153</x:v>
      </x:c>
      <x:c r="J69" s="369" t="n">
        <x:f>IF($A69="","",ABS(X69/U69-'02_Constants'!$D$13)/'02_Constants'!$D$13)</x:f>
        <x:v>0.00027856358713147946</x:v>
      </x:c>
      <x:c r="K69" s="369" t="n">
        <x:f>IF($A69="","",ABS(W69/(W69+U69)-'02_Constants'!$D$14)/'02_Constants'!$D$14)</x:f>
        <x:v>0.00013388690085805048</x:v>
      </x:c>
      <x:c r="L69" s="369" t="n">
        <x:f>IF($A69="","",ABS(W69/U69-'02_Constants'!$D$15)/'02_Constants'!$D$15)</x:f>
        <x:v>0.00035044453904796414</x:v>
      </x:c>
      <x:c r="M69" s="369" t="n">
        <x:f>IF($A69="","",ABS(2*A69/(90-A69)-'02_Constants'!$D$16)/'02_Constants'!$D$16)</x:f>
        <x:v>0.0017735356846006044</x:v>
      </x:c>
      <x:c r="N69" s="369" t="n">
        <x:f>IF($A69="","",ABS(2*A69/(90-A69)-1-'02_Constants'!$D$17)/'02_Constants'!$D$17)</x:f>
        <x:v>0.002805692141839701</x:v>
      </x:c>
      <x:c r="O69" s="369" t="n">
        <x:f>IF(A69="","",AVERAGE(C69:N69))</x:f>
        <x:v>0.0006511074079425926</x:v>
      </x:c>
      <x:c r="P69" s="369" t="n">
        <x:f>IF(A69="","",SUMPRODUCT(C69:N69,'03_12_Errors'!$P$4:$AA$4)/SUM('03_12_Errors'!$P$4:$AA$4))</x:f>
        <x:v>0.0008169164044871565</x:v>
      </x:c>
      <x:c r="Q69" s="369" t="n">
        <x:f>IF(A69="","",SQRT(SUMSQ(C69:N69)/12))</x:f>
        <x:v>0.001076573447060415</x:v>
      </x:c>
      <x:c r="R69" s="369" t="n">
        <x:f>IF(A69="","",MAX(C69:N69))</x:f>
        <x:v>0.002805692141839701</x:v>
      </x:c>
      <x:c r="S69" s="390" t="n">
        <x:f>IF(A69="","",COUNTIF(C69:N69,"&lt;="&amp;'00_Start'!$B$7))</x:f>
        <x:v>9</x:v>
      </x:c>
      <x:c r="T69" s="365" t="n">
        <x:f>IF(A69="","",0.5*TAN(RADIANS(A69)))</x:f>
        <x:v>0.635649148281788</x:v>
      </x:c>
      <x:c r="U69" s="365" t="n">
        <x:f>IF(A69="","",0.5)</x:f>
        <x:v>0.5</x:v>
      </x:c>
      <x:c r="V69" s="365" t="n">
        <x:f>IF(A69="","",SQRT(2))</x:f>
        <x:v>1.4142135623730951</x:v>
      </x:c>
      <x:c r="W69" s="365" t="n">
        <x:f>IF(A69="","",SQRT(T69^2+U69^2))</x:f>
        <x:v>0.8087334787872718</x:v>
      </x:c>
      <x:c r="X69" s="365" t="n">
        <x:f>IF(A69="","",SQRT(T69^2+2*U69^2))</x:f>
        <x:v>0.9508153552143352</x:v>
      </x:c>
      <x:c r="Y69" s="127"/>
      <x:c r="Z69" s="127"/>
      <x:c r="AA69" s="127"/>
      <x:c r="AB69" s="127"/>
      <x:c r="AC69" s="127"/>
      <x:c r="AD69" s="127"/>
      <x:c r="AE69" s="127"/>
      <x:c r="AF69" s="127"/>
      <x:c r="AG69" s="127"/>
      <x:c r="AH69" s="127"/>
      <x:c r="AI69" s="127"/>
      <x:c r="AJ69" s="127"/>
      <x:c r="AK69" s="127"/>
      <x:c r="AL69" s="127"/>
    </x:row>
    <x:row r="70">
      <x:c r="A70" s="367" t="n">
        <x:f>IF(A69="","",IF(A69+'00_Start'!$B$12&lt;='00_Start'!$B$11,A69+'00_Start'!$B$12,""))</x:f>
        <x:v>51.812000000000154</x:v>
      </x:c>
      <x:c r="B70" s="367" t="n">
        <x:f>IF(A70="","",2/TAN(RADIANS(A70)))</x:f>
        <x:v>1.5731666506563786</x:v>
      </x:c>
      <x:c r="C70" s="369" t="n">
        <x:f>IF($A70="","",ABS(2/T70-'02_Constants'!$D$6)/'02_Constants'!$D$6)</x:f>
        <x:v>0.0015089950371341555</x:v>
      </x:c>
      <x:c r="D70" s="369" t="n">
        <x:f>IF($A70="","",ABS(2/(T70+2*V70)-'02_Constants'!$D$7)/'02_Constants'!$D$7)</x:f>
        <x:v>0.00023721706762828862</x:v>
      </x:c>
      <x:c r="E70" s="369" t="n">
        <x:f>IF($A70="","",ABS((T70+2*V70)/2-'02_Constants'!$D$8)/'02_Constants'!$D$8)</x:f>
        <x:v>0.000004020280437103397</x:v>
      </x:c>
      <x:c r="F70" s="369" t="n">
        <x:f>IF($A70="","",ABS((T70+2*V70)/V70-'02_Constants'!$D$9)/'02_Constants'!$D$9)</x:f>
        <x:v>0.00000402028043718834</x:v>
      </x:c>
      <x:c r="G70" s="369" t="n">
        <x:f>IF($A70="","",ABS(V70-'02_Constants'!$D$10)/'02_Constants'!$D$10)</x:f>
        <x:v>0</x:v>
      </x:c>
      <x:c r="H70" s="369" t="n">
        <x:f>IF($A70="","",ABS((W70+1)/W70-'02_Constants'!$D$11)/'02_Constants'!$D$11)</x:f>
        <x:v>0.00018765401135642512</x:v>
      </x:c>
      <x:c r="I70" s="369" t="n">
        <x:f>IF($A70="","",ABS((U70+2*V70)/(W70+1)-'02_Constants'!$D$12)/'02_Constants'!$D$12)</x:f>
        <x:v>0.0004902887779802446</x:v>
      </x:c>
      <x:c r="J70" s="369" t="n">
        <x:f>IF($A70="","",ABS(X70/U70-'02_Constants'!$D$13)/'02_Constants'!$D$13)</x:f>
        <x:v>0.000270539432551142</x:v>
      </x:c>
      <x:c r="K70" s="369" t="n">
        <x:f>IF($A70="","",ABS(W70/(W70+U70)-'02_Constants'!$D$14)/'02_Constants'!$D$14)</x:f>
        <x:v>0.00012964892176229513</x:v>
      </x:c>
      <x:c r="L70" s="369" t="n">
        <x:f>IF($A70="","",ABS(W70/U70-'02_Constants'!$D$15)/'02_Constants'!$D$15)</x:f>
        <x:v>0.0003393540953108955</x:v>
      </x:c>
      <x:c r="M70" s="369" t="n">
        <x:f>IF($A70="","",ABS(2*A70/(90-A70)-'02_Constants'!$D$16)/'02_Constants'!$D$16)</x:f>
        <x:v>0.0017508324094006938</x:v>
      </x:c>
      <x:c r="N70" s="369" t="n">
        <x:f>IF($A70="","",ABS(2*A70/(90-A70)-1-'02_Constants'!$D$17)/'02_Constants'!$D$17)</x:f>
        <x:v>0.002769776089303798</x:v>
      </x:c>
      <x:c r="O70" s="369" t="n">
        <x:f>IF(A70="","",AVERAGE(C70:N70))</x:f>
        <x:v>0.0006410288669418526</x:v>
      </x:c>
      <x:c r="P70" s="369" t="n">
        <x:f>IF(A70="","",SUMPRODUCT(C70:N70,'03_12_Errors'!$P$4:$AA$4)/SUM('03_12_Errors'!$P$4:$AA$4))</x:f>
        <x:v>0.0008051276193325313</x:v>
      </x:c>
      <x:c r="Q70" s="369" t="n">
        <x:f>IF(A70="","",SQRT(SUMSQ(C70:N70)/12))</x:f>
        <x:v>0.0010626697016845967</x:v>
      </x:c>
      <x:c r="R70" s="369" t="n">
        <x:f>IF(A70="","",MAX(C70:N70))</x:f>
        <x:v>0.002769776089303798</x:v>
      </x:c>
      <x:c r="S70" s="390" t="n">
        <x:f>IF(A70="","",COUNTIF(C70:N70,"&lt;="&amp;'00_Start'!$B$7))</x:f>
        <x:v>9</x:v>
      </x:c>
      <x:c r="T70" s="365" t="n">
        <x:f>IF(A70="","",0.5*TAN(RADIANS(A70)))</x:f>
        <x:v>0.6356605637316085</x:v>
      </x:c>
      <x:c r="U70" s="365" t="n">
        <x:f>IF(A70="","",0.5)</x:f>
        <x:v>0.5</x:v>
      </x:c>
      <x:c r="V70" s="365" t="n">
        <x:f>IF(A70="","",SQRT(2))</x:f>
        <x:v>1.4142135623730951</x:v>
      </x:c>
      <x:c r="W70" s="365" t="n">
        <x:f>IF(A70="","",SQRT(T70^2+U70^2))</x:f>
        <x:v>0.8087424511447302</x:v>
      </x:c>
      <x:c r="X70" s="365" t="n">
        <x:f>IF(A70="","",SQRT(T70^2+2*U70^2))</x:f>
        <x:v>0.950822986829613</x:v>
      </x:c>
      <x:c r="Y70" s="127"/>
      <x:c r="Z70" s="127"/>
      <x:c r="AA70" s="127"/>
      <x:c r="AB70" s="127"/>
      <x:c r="AC70" s="127"/>
      <x:c r="AD70" s="127"/>
      <x:c r="AE70" s="127"/>
      <x:c r="AF70" s="127"/>
      <x:c r="AG70" s="127"/>
      <x:c r="AH70" s="127"/>
      <x:c r="AI70" s="127"/>
      <x:c r="AJ70" s="127"/>
      <x:c r="AK70" s="127"/>
      <x:c r="AL70" s="127"/>
    </x:row>
    <x:row r="71">
      <x:c r="A71" s="367" t="n">
        <x:f>IF(A70="","",IF(A70+'00_Start'!$B$12&lt;='00_Start'!$B$11,A70+'00_Start'!$B$12,""))</x:f>
        <x:v>51.812500000000156</x:v>
      </x:c>
      <x:c r="B71" s="367" t="n">
        <x:f>IF(A71="","",2/TAN(RADIANS(A71)))</x:f>
        <x:v>1.57313839897309</x:v>
      </x:c>
      <x:c r="C71" s="369" t="n">
        <x:f>IF($A71="","",ABS(2/T71-'02_Constants'!$D$6)/'02_Constants'!$D$6)</x:f>
        <x:v>0.001491009456949984</x:v>
      </x:c>
      <x:c r="D71" s="369" t="n">
        <x:f>IF($A71="","",ABS(2/(T71+2*V71)-'02_Constants'!$D$7)/'02_Constants'!$D$7)</x:f>
        <x:v>0.00023392085387291208</x:v>
      </x:c>
      <x:c r="E71" s="369" t="n">
        <x:f>IF($A71="","",ABS((T71+2*V71)/2-'02_Constants'!$D$8)/'02_Constants'!$D$8)</x:f>
        <x:v>7.24850803173967e-7</x:v>
      </x:c>
      <x:c r="F71" s="369" t="n">
        <x:f>IF($A71="","",ABS((T71+2*V71)/V71-'02_Constants'!$D$9)/'02_Constants'!$D$9)</x:f>
        <x:v>7.248508031395107e-7</x:v>
      </x:c>
      <x:c r="G71" s="369" t="n">
        <x:f>IF($A71="","",ABS(V71-'02_Constants'!$D$10)/'02_Constants'!$D$10)</x:f>
        <x:v>0</x:v>
      </x:c>
      <x:c r="H71" s="369" t="n">
        <x:f>IF($A71="","",ABS((W71+1)/W71-'02_Constants'!$D$11)/'02_Constants'!$D$11)</x:f>
        <x:v>0.00018151909162691699</x:v>
      </x:c>
      <x:c r="I71" s="369" t="n">
        <x:f>IF($A71="","",ABS((U71+2*V71)/(W71+1)-'02_Constants'!$D$12)/'02_Constants'!$D$12)</x:f>
        <x:v>0.00048532567625604974</x:v>
      </x:c>
      <x:c r="J71" s="369" t="n">
        <x:f>IF($A71="","",ABS(X71/U71-'02_Constants'!$D$13)/'02_Constants'!$D$13)</x:f>
        <x:v>0.0002625150202238792</x:v>
      </x:c>
      <x:c r="K71" s="369" t="n">
        <x:f>IF($A71="","",ABS(W71/(W71+U71)-'02_Constants'!$D$14)/'02_Constants'!$D$14)</x:f>
        <x:v>0.0001254108776498502</x:v>
      </x:c>
      <x:c r="L71" s="369" t="n">
        <x:f>IF($A71="","",ABS(W71/U71-'02_Constants'!$D$15)/'02_Constants'!$D$15)</x:f>
        <x:v>0.0003282633293588791</x:v>
      </x:c>
      <x:c r="M71" s="369" t="n">
        <x:f>IF($A71="","",ABS(2*A71/(90-A71)-'02_Constants'!$D$16)/'02_Constants'!$D$16)</x:f>
        <x:v>0.001728128539679588</x:v>
      </x:c>
      <x:c r="N71" s="369" t="n">
        <x:f>IF($A71="","",ABS(2*A71/(90-A71)-1-'02_Constants'!$D$17)/'02_Constants'!$D$17)</x:f>
        <x:v>0.0027338590962492125</x:v>
      </x:c>
      <x:c r="O71" s="369" t="n">
        <x:f>IF(A71="","",AVERAGE(C71:N71))</x:f>
        <x:v>0.0006309501369561321</x:v>
      </x:c>
      <x:c r="P71" s="369" t="n">
        <x:f>IF(A71="","",SUMPRODUCT(C71:N71,'03_12_Errors'!$P$4:$AA$4)/SUM('03_12_Errors'!$P$4:$AA$4))</x:f>
        <x:v>0.0007933386537943231</x:v>
      </x:c>
      <x:c r="Q71" s="369" t="n">
        <x:f>IF(A71="","",SQRT(SUMSQ(C71:N71)/12))</x:f>
        <x:v>0.001048774366238366</x:v>
      </x:c>
      <x:c r="R71" s="369" t="n">
        <x:f>IF(A71="","",MAX(C71:N71))</x:f>
        <x:v>0.0027338590962492125</x:v>
      </x:c>
      <x:c r="S71" s="390" t="n">
        <x:f>IF(A71="","",COUNTIF(C71:N71,"&lt;="&amp;'00_Start'!$B$7))</x:f>
        <x:v>9</x:v>
      </x:c>
      <x:c r="T71" s="365" t="n">
        <x:f>IF(A71="","",0.5*TAN(RADIANS(A71)))</x:f>
        <x:v>0.6356719794347261</x:v>
      </x:c>
      <x:c r="U71" s="365" t="n">
        <x:f>IF(A71="","",0.5)</x:f>
        <x:v>0.5</x:v>
      </x:c>
      <x:c r="V71" s="365" t="n">
        <x:f>IF(A71="","",SQRT(2))</x:f>
        <x:v>1.4142135623730951</x:v>
      </x:c>
      <x:c r="W71" s="365" t="n">
        <x:f>IF(A71="","",SQRT(T71^2+U71^2))</x:f>
        <x:v>0.808751423762866</x:v>
      </x:c>
      <x:c r="X71" s="365" t="n">
        <x:f>IF(A71="","",SQRT(T71^2+2*U71^2))</x:f>
        <x:v>0.9508306186900287</x:v>
      </x:c>
      <x:c r="Y71" s="127"/>
      <x:c r="Z71" s="127"/>
      <x:c r="AA71" s="127"/>
      <x:c r="AB71" s="127"/>
      <x:c r="AC71" s="127"/>
      <x:c r="AD71" s="127"/>
      <x:c r="AE71" s="127"/>
      <x:c r="AF71" s="127"/>
      <x:c r="AG71" s="127"/>
      <x:c r="AH71" s="127"/>
      <x:c r="AI71" s="127"/>
      <x:c r="AJ71" s="127"/>
      <x:c r="AK71" s="127"/>
      <x:c r="AL71" s="127"/>
    </x:row>
    <x:row r="72">
      <x:c r="A72" s="367" t="n">
        <x:f>IF(A71="","",IF(A71+'00_Start'!$B$12&lt;='00_Start'!$B$11,A71+'00_Start'!$B$12,""))</x:f>
        <x:v>51.81300000000016</x:v>
      </x:c>
      <x:c r="B72" s="367" t="n">
        <x:f>IF(A72="","",2/TAN(RADIANS(A72)))</x:f>
        <x:v>1.5731101476776441</x:v>
      </x:c>
      <x:c r="C72" s="369" t="n">
        <x:f>IF($A72="","",ABS(2/T72-'02_Constants'!$D$6)/'02_Constants'!$D$6)</x:f>
        <x:v>0.00147302412367411</x:v>
      </x:c>
      <x:c r="D72" s="369" t="n">
        <x:f>IF($A72="","",ABS(2/(T72+2*V72)-'02_Constants'!$D$7)/'02_Constants'!$D$7)</x:f>
        <x:v>0.00023062458870206373</x:v>
      </x:c>
      <x:c r="E72" s="369" t="n">
        <x:f>IF($A72="","",ABS((T72+2*V72)/2-'02_Constants'!$D$8)/'02_Constants'!$D$8)</x:f>
        <x:v>0.0000025706519543601557</x:v>
      </x:c>
      <x:c r="F72" s="369" t="n">
        <x:f>IF($A72="","",ABS((T72+2*V72)/V72-'02_Constants'!$D$9)/'02_Constants'!$D$9)</x:f>
        <x:v>0.000002570651954279451</x:v>
      </x:c>
      <x:c r="G72" s="369" t="n">
        <x:f>IF($A72="","",ABS(V72-'02_Constants'!$D$10)/'02_Constants'!$D$10)</x:f>
        <x:v>0</x:v>
      </x:c>
      <x:c r="H72" s="369" t="n">
        <x:f>IF($A72="","",ABS((W72+1)/W72-'02_Constants'!$D$11)/'02_Constants'!$D$11)</x:f>
        <x:v>0.00017538412978608268</x:v>
      </x:c>
      <x:c r="I72" s="369" t="n">
        <x:f>IF($A72="","",ABS((U72+2*V72)/(W72+1)-'02_Constants'!$D$12)/'02_Constants'!$D$12)</x:f>
        <x:v>0.0004803624795782196</x:v>
      </x:c>
      <x:c r="J72" s="369" t="n">
        <x:f>IF($A72="","",ABS(X72/U72-'02_Constants'!$D$13)/'02_Constants'!$D$13)</x:f>
        <x:v>0.00025449035013883477</x:v>
      </x:c>
      <x:c r="K72" s="369" t="n">
        <x:f>IF($A72="","",ABS(W72/(W72+U72)-'02_Constants'!$D$14)/'02_Constants'!$D$14)</x:f>
        <x:v>0.0001211727685194583</x:v>
      </x:c>
      <x:c r="L72" s="369" t="n">
        <x:f>IF($A72="","",ABS(W72/U72-'02_Constants'!$D$15)/'02_Constants'!$D$15)</x:f>
        <x:v>0.00031717224117942697</x:v>
      </x:c>
      <x:c r="M72" s="369" t="n">
        <x:f>IF($A72="","",ABS(2*A72/(90-A72)-'02_Constants'!$D$16)/'02_Constants'!$D$16)</x:f>
        <x:v>0.0017054240754140878</x:v>
      </x:c>
      <x:c r="N72" s="369" t="n">
        <x:f>IF($A72="","",ABS(2*A72/(90-A72)-1-'02_Constants'!$D$17)/'02_Constants'!$D$17)</x:f>
        <x:v>0.0026979411626392447</x:v>
      </x:c>
      <x:c r="O72" s="369" t="n">
        <x:f>IF(A72="","",AVERAGE(C72:N72))</x:f>
        <x:v>0.0006217281019616806</x:v>
      </x:c>
      <x:c r="P72" s="369" t="n">
        <x:f>IF(A72="","",SUMPRODUCT(C72:N72,'03_12_Errors'!$P$4:$AA$4)/SUM('03_12_Errors'!$P$4:$AA$4))</x:f>
        <x:v>0.0007821207638527314</x:v>
      </x:c>
      <x:c r="Q72" s="369" t="n">
        <x:f>IF(A72="","",SQRT(SUMSQ(C72:N72)/12))</x:f>
        <x:v>0.0010348877915783352</x:v>
      </x:c>
      <x:c r="R72" s="369" t="n">
        <x:f>IF(A72="","",MAX(C72:N72))</x:f>
        <x:v>0.0026979411626392447</x:v>
      </x:c>
      <x:c r="S72" s="390" t="n">
        <x:f>IF(A72="","",COUNTIF(C72:N72,"&lt;="&amp;'00_Start'!$B$7))</x:f>
        <x:v>9</x:v>
      </x:c>
      <x:c r="T72" s="365" t="n">
        <x:f>IF(A72="","",0.5*TAN(RADIANS(A72)))</x:f>
        <x:v>0.6356833953911512</x:v>
      </x:c>
      <x:c r="U72" s="365" t="n">
        <x:f>IF(A72="","",0.5)</x:f>
        <x:v>0.5</x:v>
      </x:c>
      <x:c r="V72" s="365" t="n">
        <x:f>IF(A72="","",SQRT(2))</x:f>
        <x:v>1.4142135623730951</x:v>
      </x:c>
      <x:c r="W72" s="365" t="n">
        <x:f>IF(A72="","",SQRT(T72^2+U72^2))</x:f>
        <x:v>0.8087603966416893</x:v>
      </x:c>
      <x:c r="X72" s="365" t="n">
        <x:f>IF(A72="","",SQRT(T72^2+2*U72^2))</x:f>
        <x:v>0.9508382507955928</x:v>
      </x:c>
      <x:c r="Y72" s="127"/>
      <x:c r="Z72" s="127"/>
      <x:c r="AA72" s="127"/>
      <x:c r="AB72" s="127"/>
      <x:c r="AC72" s="127"/>
      <x:c r="AD72" s="127"/>
      <x:c r="AE72" s="127"/>
      <x:c r="AF72" s="127"/>
      <x:c r="AG72" s="127"/>
      <x:c r="AH72" s="127"/>
      <x:c r="AI72" s="127"/>
      <x:c r="AJ72" s="127"/>
      <x:c r="AK72" s="127"/>
      <x:c r="AL72" s="127"/>
    </x:row>
    <x:row r="73">
      <x:c r="A73" s="367" t="n">
        <x:f>IF(A72="","",IF(A72+'00_Start'!$B$12&lt;='00_Start'!$B$11,A72+'00_Start'!$B$12,""))</x:f>
        <x:v>51.81350000000016</x:v>
      </x:c>
      <x:c r="B73" s="367" t="n">
        <x:f>IF(A73="","",2/TAN(RADIANS(A73)))</x:f>
        <x:v>1.5730818967700286</x:v>
      </x:c>
      <x:c r="C73" s="369" t="n">
        <x:f>IF($A73="","",ABS(2/T73-'02_Constants'!$D$6)/'02_Constants'!$D$6)</x:f>
        <x:v>0.0014550390372987593</x:v>
      </x:c>
      <x:c r="D73" s="369" t="n">
        <x:f>IF($A73="","",ABS(2/(T73+2*V73)-'02_Constants'!$D$7)/'02_Constants'!$D$7)</x:f>
        <x:v>0.00022732827211439715</x:v>
      </x:c>
      <x:c r="E73" s="369" t="n">
        <x:f>IF($A73="","",ABS((T73+2*V73)/2-'02_Constants'!$D$8)/'02_Constants'!$D$8)</x:f>
        <x:v>0.0000058662278383193156</x:v>
      </x:c>
      <x:c r="F73" s="369" t="n">
        <x:f>IF($A73="","",ABS((T73+2*V73)/V73-'02_Constants'!$D$9)/'02_Constants'!$D$9)</x:f>
        <x:v>0.000005866227838331922</x:v>
      </x:c>
      <x:c r="G73" s="369" t="n">
        <x:f>IF($A73="","",ABS(V73-'02_Constants'!$D$10)/'02_Constants'!$D$10)</x:f>
        <x:v>0</x:v>
      </x:c>
      <x:c r="H73" s="369" t="n">
        <x:f>IF($A73="","",ABS((W73+1)/W73-'02_Constants'!$D$11)/'02_Constants'!$D$11)</x:f>
        <x:v>0.00016924912583511387</x:v>
      </x:c>
      <x:c r="I73" s="369" t="n">
        <x:f>IF($A73="","",ABS((U73+2*V73)/(W73+1)-'02_Constants'!$D$12)/'02_Constants'!$D$12)</x:f>
        <x:v>0.0004753991879443398</x:v>
      </x:c>
      <x:c r="J73" s="369" t="n">
        <x:f>IF($A73="","",ABS(X73/U73-'02_Constants'!$D$13)/'02_Constants'!$D$13)</x:f>
        <x:v>0.0002464654222857363</x:v>
      </x:c>
      <x:c r="K73" s="369" t="n">
        <x:f>IF($A73="","",ABS(W73/(W73+U73)-'02_Constants'!$D$14)/'02_Constants'!$D$14)</x:f>
        <x:v>0.00011693459437076012</x:v>
      </x:c>
      <x:c r="L73" s="369" t="n">
        <x:f>IF($A73="","",ABS(W73/U73-'02_Constants'!$D$15)/'02_Constants'!$D$15)</x:f>
        <x:v>0.000306080830760051</x:v>
      </x:c>
      <x:c r="M73" s="369" t="n">
        <x:f>IF($A73="","",ABS(2*A73/(90-A73)-'02_Constants'!$D$16)/'02_Constants'!$D$16)</x:f>
        <x:v>0.0016827190165808318</x:v>
      </x:c>
      <x:c r="N73" s="369" t="n">
        <x:f>IF($A73="","",ABS(2*A73/(90-A73)-1-'02_Constants'!$D$17)/'02_Constants'!$D$17)</x:f>
        <x:v>0.002662022288436936</x:v>
      </x:c>
      <x:c r="O73" s="369" t="n">
        <x:f>IF(A73="","",AVERAGE(C73:N73))</x:f>
        <x:v>0.0006127475192752981</x:v>
      </x:c>
      <x:c r="P73" s="369" t="n">
        <x:f>IF(A73="","",SUMPRODUCT(C73:N73,'03_12_Errors'!$P$4:$AA$4)/SUM('03_12_Errors'!$P$4:$AA$4))</x:f>
        <x:v>0.0007710637877150074</x:v>
      </x:c>
      <x:c r="Q73" s="369" t="n">
        <x:f>IF(A73="","",SQRT(SUMSQ(C73:N73)/12))</x:f>
        <x:v>0.0010210103474303325</x:v>
      </x:c>
      <x:c r="R73" s="369" t="n">
        <x:f>IF(A73="","",MAX(C73:N73))</x:f>
        <x:v>0.002662022288436936</x:v>
      </x:c>
      <x:c r="S73" s="390" t="n">
        <x:f>IF(A73="","",COUNTIF(C73:N73,"&lt;="&amp;'00_Start'!$B$7))</x:f>
        <x:v>9</x:v>
      </x:c>
      <x:c r="T73" s="365" t="n">
        <x:f>IF(A73="","",0.5*TAN(RADIANS(A73)))</x:f>
        <x:v>0.6356948116008938</x:v>
      </x:c>
      <x:c r="U73" s="365" t="n">
        <x:f>IF(A73="","",0.5)</x:f>
        <x:v>0.5</x:v>
      </x:c>
      <x:c r="V73" s="365" t="n">
        <x:f>IF(A73="","",SQRT(2))</x:f>
        <x:v>1.4142135623730951</x:v>
      </x:c>
      <x:c r="W73" s="365" t="n">
        <x:f>IF(A73="","",SQRT(T73^2+U73^2))</x:f>
        <x:v>0.8087693697812102</x:v>
      </x:c>
      <x:c r="X73" s="365" t="n">
        <x:f>IF(A73="","",SQRT(T73^2+2*U73^2))</x:f>
        <x:v>0.950845883146315</x:v>
      </x:c>
      <x:c r="Y73" s="127"/>
      <x:c r="Z73" s="127"/>
      <x:c r="AA73" s="127"/>
      <x:c r="AB73" s="127"/>
      <x:c r="AC73" s="127"/>
      <x:c r="AD73" s="127"/>
      <x:c r="AE73" s="127"/>
      <x:c r="AF73" s="127"/>
      <x:c r="AG73" s="127"/>
      <x:c r="AH73" s="127"/>
      <x:c r="AI73" s="127"/>
      <x:c r="AJ73" s="127"/>
      <x:c r="AK73" s="127"/>
      <x:c r="AL73" s="127"/>
    </x:row>
    <x:row r="74">
      <x:c r="A74" s="367" t="n">
        <x:f>IF(A73="","",IF(A73+'00_Start'!$B$12&lt;='00_Start'!$B$11,A73+'00_Start'!$B$12,""))</x:f>
        <x:v>51.81400000000016</x:v>
      </x:c>
      <x:c r="B74" s="367" t="n">
        <x:f>IF(A74="","",2/TAN(RADIANS(A74)))</x:f>
        <x:v>1.5730536462502311</x:v>
      </x:c>
      <x:c r="C74" s="369" t="n">
        <x:f>IF($A74="","",ABS(2/T74-'02_Constants'!$D$6)/'02_Constants'!$D$6)</x:f>
        <x:v>0.0014370541978160152</x:v>
      </x:c>
      <x:c r="D74" s="369" t="n">
        <x:f>IF($A74="","",ABS(2/(T74+2*V74)-'02_Constants'!$D$7)/'02_Constants'!$D$7)</x:f>
        <x:v>0.00022403190410741193</x:v>
      </x:c>
      <x:c r="E74" s="369" t="n">
        <x:f>IF($A74="","",ABS((T74+2*V74)/2-'02_Constants'!$D$8)/'02_Constants'!$D$8)</x:f>
        <x:v>0.000009161876851908452</x:v>
      </x:c>
      <x:c r="F74" s="369" t="n">
        <x:f>IF($A74="","",ABS((T74+2*V74)/V74-'02_Constants'!$D$9)/'02_Constants'!$D$9)</x:f>
        <x:v>0.00000916187685191868</x:v>
      </x:c>
      <x:c r="G74" s="369" t="n">
        <x:f>IF($A74="","",ABS(V74-'02_Constants'!$D$10)/'02_Constants'!$D$10)</x:f>
        <x:v>0</x:v>
      </x:c>
      <x:c r="H74" s="369" t="n">
        <x:f>IF($A74="","",ABS((W74+1)/W74-'02_Constants'!$D$11)/'02_Constants'!$D$11)</x:f>
        <x:v>0.0001631140797742091</x:v>
      </x:c>
      <x:c r="I74" s="369" t="n">
        <x:f>IF($A74="","",ABS((U74+2*V74)/(W74+1)-'02_Constants'!$D$12)/'02_Constants'!$D$12)</x:f>
        <x:v>0.00047043580135284097</x:v>
      </x:c>
      <x:c r="J74" s="369" t="n">
        <x:f>IF($A74="","",ABS(X74/U74-'02_Constants'!$D$13)/'02_Constants'!$D$13)</x:f>
        <x:v>0.00023844023665372754</x:v>
      </x:c>
      <x:c r="K74" s="369" t="n">
        <x:f>IF($A74="","",ABS(W74/(W74+U74)-'02_Constants'!$D$14)/'02_Constants'!$D$14)</x:f>
        <x:v>0.00011269635520231853</x:v>
      </x:c>
      <x:c r="L74" s="369" t="n">
        <x:f>IF($A74="","",ABS(W74/U74-'02_Constants'!$D$15)/'02_Constants'!$D$15)</x:f>
        <x:v>0.00029498909808840036</x:v>
      </x:c>
      <x:c r="M74" s="369" t="n">
        <x:f>IF($A74="","",ABS(2*A74/(90-A74)-'02_Constants'!$D$16)/'02_Constants'!$D$16)</x:f>
        <x:v>0.0016600133631564575</x:v>
      </x:c>
      <x:c r="N74" s="369" t="n">
        <x:f>IF($A74="","",ABS(2*A74/(90-A74)-1-'02_Constants'!$D$17)/'02_Constants'!$D$17)</x:f>
        <x:v>0.002626102473605328</x:v>
      </x:c>
      <x:c r="O74" s="369" t="n">
        <x:f>IF(A74="","",AVERAGE(C74:N74))</x:f>
        <x:v>0.0006037667719550446</x:v>
      </x:c>
      <x:c r="P74" s="369" t="n">
        <x:f>IF(A74="","",SUMPRODUCT(C74:N74,'03_12_Errors'!$P$4:$AA$4)/SUM('03_12_Errors'!$P$4:$AA$4))</x:f>
        <x:v>0.000760006647415922</x:v>
      </x:c>
      <x:c r="Q74" s="369" t="n">
        <x:f>IF(A74="","",SQRT(SUMSQ(C74:N74)/12))</x:f>
        <x:v>0.0010071424236573583</x:v>
      </x:c>
      <x:c r="R74" s="369" t="n">
        <x:f>IF(A74="","",MAX(C74:N74))</x:f>
        <x:v>0.002626102473605328</x:v>
      </x:c>
      <x:c r="S74" s="390" t="n">
        <x:f>IF(A74="","",COUNTIF(C74:N74,"&lt;="&amp;'00_Start'!$B$7))</x:f>
        <x:v>9</x:v>
      </x:c>
      <x:c r="T74" s="365" t="n">
        <x:f>IF(A74="","",0.5*TAN(RADIANS(A74)))</x:f>
        <x:v>0.6357062280639643</x:v>
      </x:c>
      <x:c r="U74" s="365" t="n">
        <x:f>IF(A74="","",0.5)</x:f>
        <x:v>0.5</x:v>
      </x:c>
      <x:c r="V74" s="365" t="n">
        <x:f>IF(A74="","",SQRT(2))</x:f>
        <x:v>1.4142135623730951</x:v>
      </x:c>
      <x:c r="W74" s="365" t="n">
        <x:f>IF(A74="","",SQRT(T74^2+U74^2))</x:f>
        <x:v>0.8087783431814386</x:v>
      </x:c>
      <x:c r="X74" s="365" t="n">
        <x:f>IF(A74="","",SQRT(T74^2+2*U74^2))</x:f>
        <x:v>0.9508535157422057</x:v>
      </x:c>
      <x:c r="Y74" s="127"/>
      <x:c r="Z74" s="127"/>
      <x:c r="AA74" s="127"/>
      <x:c r="AB74" s="127"/>
      <x:c r="AC74" s="127"/>
      <x:c r="AD74" s="127"/>
      <x:c r="AE74" s="127"/>
      <x:c r="AF74" s="127"/>
      <x:c r="AG74" s="127"/>
      <x:c r="AH74" s="127"/>
      <x:c r="AI74" s="127"/>
      <x:c r="AJ74" s="127"/>
      <x:c r="AK74" s="127"/>
      <x:c r="AL74" s="127"/>
    </x:row>
    <x:row r="75">
      <x:c r="A75" s="367" t="n">
        <x:f>IF(A74="","",IF(A74+'00_Start'!$B$12&lt;='00_Start'!$B$11,A74+'00_Start'!$B$12,""))</x:f>
        <x:v>51.814500000000166</x:v>
      </x:c>
      <x:c r="B75" s="367" t="n">
        <x:f>IF(A75="","",2/TAN(RADIANS(A75)))</x:f>
        <x:v>1.5730253961182397</x:v>
      </x:c>
      <x:c r="C75" s="369" t="n">
        <x:f>IF($A75="","",ABS(2/T75-'02_Constants'!$D$6)/'02_Constants'!$D$6)</x:f>
        <x:v>0.0014190696052182445</x:v>
      </x:c>
      <x:c r="D75" s="369" t="n">
        <x:f>IF($A75="","",ABS(2/(T75+2*V75)-'02_Constants'!$D$7)/'02_Constants'!$D$7)</x:f>
        <x:v>0.0002207354846801463</x:v>
      </x:c>
      <x:c r="E75" s="369" t="n">
        <x:f>IF($A75="","",ABS((T75+2*V75)/2-'02_Constants'!$D$8)/'02_Constants'!$D$8)</x:f>
        <x:v>0.000012457598997691513</x:v>
      </x:c>
      <x:c r="F75" s="369" t="n">
        <x:f>IF($A75="","",ABS((T75+2*V75)/V75-'02_Constants'!$D$9)/'02_Constants'!$D$9)</x:f>
        <x:v>0.000012457598997577906</x:v>
      </x:c>
      <x:c r="G75" s="369" t="n">
        <x:f>IF($A75="","",ABS(V75-'02_Constants'!$D$10)/'02_Constants'!$D$10)</x:f>
        <x:v>0</x:v>
      </x:c>
      <x:c r="H75" s="369" t="n">
        <x:f>IF($A75="","",ABS((W75+1)/W75-'02_Constants'!$D$11)/'02_Constants'!$D$11)</x:f>
        <x:v>0.00015697899160376565</x:v>
      </x:c>
      <x:c r="I75" s="369" t="n">
        <x:f>IF($A75="","",ABS((U75+2*V75)/(W75+1)-'02_Constants'!$D$12)/'02_Constants'!$D$12)</x:f>
        <x:v>0.00046547231980155</x:v>
      </x:c>
      <x:c r="J75" s="369" t="n">
        <x:f>IF($A75="","",ABS(X75/U75-'02_Constants'!$D$13)/'02_Constants'!$D$13)</x:f>
        <x:v>0.00023041479323253607</x:v>
      </x:c>
      <x:c r="K75" s="369" t="n">
        <x:f>IF($A75="","",ABS(W75/(W75+U75)-'02_Constants'!$D$14)/'02_Constants'!$D$14)</x:f>
        <x:v>0.00010845805101359465</x:v>
      </x:c>
      <x:c r="L75" s="369" t="n">
        <x:f>IF($A75="","",ABS(W75/U75-'02_Constants'!$D$15)/'02_Constants'!$D$15)</x:f>
        <x:v>0.0002838970431519871</x:v>
      </x:c>
      <x:c r="M75" s="369" t="n">
        <x:f>IF($A75="","",ABS(2*A75/(90-A75)-'02_Constants'!$D$16)/'02_Constants'!$D$16)</x:f>
        <x:v>0.0016373071151174396</x:v>
      </x:c>
      <x:c r="N75" s="369" t="n">
        <x:f>IF($A75="","",ABS(2*A75/(90-A75)-1-'02_Constants'!$D$17)/'02_Constants'!$D$17)</x:f>
        <x:v>0.0025901817181072043</x:v>
      </x:c>
      <x:c r="O75" s="369" t="n">
        <x:f>IF(A75="","",AVERAGE(C75:N75))</x:f>
        <x:v>0.0005947858599934781</x:v>
      </x:c>
      <x:c r="P75" s="369" t="n">
        <x:f>IF(A75="","",SUMPRODUCT(C75:N75,'03_12_Errors'!$P$4:$AA$4)/SUM('03_12_Errors'!$P$4:$AA$4))</x:f>
        <x:v>0.0007489493429465958</x:v>
      </x:c>
      <x:c r="Q75" s="369" t="n">
        <x:f>IF(A75="","",SQRT(SUMSQ(C75:N75)/12))</x:f>
        <x:v>0.0009932844316296763</x:v>
      </x:c>
      <x:c r="R75" s="369" t="n">
        <x:f>IF(A75="","",MAX(C75:N75))</x:f>
        <x:v>0.0025901817181072043</x:v>
      </x:c>
      <x:c r="S75" s="390" t="n">
        <x:f>IF(A75="","",COUNTIF(C75:N75,"&lt;="&amp;'00_Start'!$B$7))</x:f>
        <x:v>9</x:v>
      </x:c>
      <x:c r="T75" s="365" t="n">
        <x:f>IF(A75="","",0.5*TAN(RADIANS(A75)))</x:f>
        <x:v>0.6357176447803726</x:v>
      </x:c>
      <x:c r="U75" s="365" t="n">
        <x:f>IF(A75="","",0.5)</x:f>
        <x:v>0.5</x:v>
      </x:c>
      <x:c r="V75" s="365" t="n">
        <x:f>IF(A75="","",SQRT(2))</x:f>
        <x:v>1.4142135623730951</x:v>
      </x:c>
      <x:c r="W75" s="365" t="n">
        <x:f>IF(A75="","",SQRT(T75^2+U75^2))</x:f>
        <x:v>0.8087873168423847</x:v>
      </x:c>
      <x:c r="X75" s="365" t="n">
        <x:f>IF(A75="","",SQRT(T75^2+2*U75^2))</x:f>
        <x:v>0.9508611485832745</x:v>
      </x:c>
      <x:c r="Y75" s="127"/>
      <x:c r="Z75" s="127"/>
      <x:c r="AA75" s="127"/>
      <x:c r="AB75" s="127"/>
      <x:c r="AC75" s="127"/>
      <x:c r="AD75" s="127"/>
      <x:c r="AE75" s="127"/>
      <x:c r="AF75" s="127"/>
      <x:c r="AG75" s="127"/>
      <x:c r="AH75" s="127"/>
      <x:c r="AI75" s="127"/>
      <x:c r="AJ75" s="127"/>
      <x:c r="AK75" s="127"/>
      <x:c r="AL75" s="127"/>
    </x:row>
    <x:row r="76">
      <x:c r="A76" s="367" t="n">
        <x:f>IF(A75="","",IF(A75+'00_Start'!$B$12&lt;='00_Start'!$B$11,A75+'00_Start'!$B$12,""))</x:f>
        <x:v>51.81500000000017</x:v>
      </x:c>
      <x:c r="B76" s="367" t="n">
        <x:f>IF(A76="","",2/TAN(RADIANS(A76)))</x:f>
        <x:v>1.5729971463740418</x:v>
      </x:c>
      <x:c r="C76" s="369" t="n">
        <x:f>IF($A76="","",ABS(2/T76-'02_Constants'!$D$6)/'02_Constants'!$D$6)</x:f>
        <x:v>0.0014010852594975314</x:v>
      </x:c>
      <x:c r="D76" s="369" t="n">
        <x:f>IF($A76="","",ABS(2/(T76+2*V76)-'02_Constants'!$D$7)/'02_Constants'!$D$7)</x:f>
        <x:v>0.0002174390138308693</x:v>
      </x:c>
      <x:c r="E76" s="369" t="n">
        <x:f>IF($A76="","",ABS((T76+2*V76)/2-'02_Constants'!$D$8)/'02_Constants'!$D$8)</x:f>
        <x:v>0.000015753394278745242</x:v>
      </x:c>
      <x:c r="F76" s="369" t="n">
        <x:f>IF($A76="","",ABS((T76+2*V76)/V76-'02_Constants'!$D$9)/'02_Constants'!$D$9)</x:f>
        <x:v>0.000015753394278754275</x:v>
      </x:c>
      <x:c r="G76" s="369" t="n">
        <x:f>IF($A76="","",ABS(V76-'02_Constants'!$D$10)/'02_Constants'!$D$10)</x:f>
        <x:v>0</x:v>
      </x:c>
      <x:c r="H76" s="369" t="n">
        <x:f>IF($A76="","",ABS((W76+1)/W76-'02_Constants'!$D$11)/'02_Constants'!$D$11)</x:f>
        <x:v>0.00015084386132418069</x:v>
      </x:c>
      <x:c r="I76" s="369" t="n">
        <x:f>IF($A76="","",ABS((U76+2*V76)/(W76+1)-'02_Constants'!$D$12)/'02_Constants'!$D$12)</x:f>
        <x:v>0.00046050874328841475</x:v>
      </x:c>
      <x:c r="J76" s="369" t="n">
        <x:f>IF($A76="","",ABS(X76/U76-'02_Constants'!$D$13)/'02_Constants'!$D$13)</x:f>
        <x:v>0.00022238909201165592</x:v>
      </x:c>
      <x:c r="K76" s="369" t="n">
        <x:f>IF($A76="","",ABS(W76/(W76+U76)-'02_Constants'!$D$14)/'02_Constants'!$D$14)</x:f>
        <x:v>0.00010421968180369026</x:v>
      </x:c>
      <x:c r="L76" s="369" t="n">
        <x:f>IF($A76="","",ABS(W76/U76-'02_Constants'!$D$15)/'02_Constants'!$D$15)</x:f>
        <x:v>0.0002728046659384604</x:v>
      </x:c>
      <x:c r="M76" s="369" t="n">
        <x:f>IF($A76="","",ABS(2*A76/(90-A76)-'02_Constants'!$D$16)/'02_Constants'!$D$16)</x:f>
        <x:v>0.0016146002724404158</x:v>
      </x:c>
      <x:c r="N76" s="369" t="n">
        <x:f>IF($A76="","",ABS(2*A76/(90-A76)-1-'02_Constants'!$D$17)/'02_Constants'!$D$17)</x:f>
        <x:v>0.0025542600219056063</x:v>
      </x:c>
      <x:c r="O76" s="369" t="n">
        <x:f>IF(A76="","",AVERAGE(C76:N76))</x:f>
        <x:v>0.0005858047833831936</x:v>
      </x:c>
      <x:c r="P76" s="369" t="n">
        <x:f>IF(A76="","",SUMPRODUCT(C76:N76,'03_12_Errors'!$P$4:$AA$4)/SUM('03_12_Errors'!$P$4:$AA$4))</x:f>
        <x:v>0.0007378918742981411</x:v>
      </x:c>
      <x:c r="Q76" s="369" t="n">
        <x:f>IF(A76="","",SQRT(SUMSQ(C76:N76)/12))</x:f>
        <x:v>0.0009794368057065837</x:v>
      </x:c>
      <x:c r="R76" s="369" t="n">
        <x:f>IF(A76="","",MAX(C76:N76))</x:f>
        <x:v>0.0025542600219056063</x:v>
      </x:c>
      <x:c r="S76" s="390" t="n">
        <x:f>IF(A76="","",COUNTIF(C76:N76,"&lt;="&amp;'00_Start'!$B$7))</x:f>
        <x:v>9</x:v>
      </x:c>
      <x:c r="T76" s="365" t="n">
        <x:f>IF(A76="","",0.5*TAN(RADIANS(A76)))</x:f>
        <x:v>0.6357290617501291</x:v>
      </x:c>
      <x:c r="U76" s="365" t="n">
        <x:f>IF(A76="","",0.5)</x:f>
        <x:v>0.5</x:v>
      </x:c>
      <x:c r="V76" s="365" t="n">
        <x:f>IF(A76="","",SQRT(2))</x:f>
        <x:v>1.4142135623730951</x:v>
      </x:c>
      <x:c r="W76" s="365" t="n">
        <x:f>IF(A76="","",SQRT(T76^2+U76^2))</x:f>
        <x:v>0.8087962907640585</x:v>
      </x:c>
      <x:c r="X76" s="365" t="n">
        <x:f>IF(A76="","",SQRT(T76^2+2*U76^2))</x:f>
        <x:v>0.9508687816695316</x:v>
      </x:c>
      <x:c r="Y76" s="127"/>
      <x:c r="Z76" s="127"/>
      <x:c r="AA76" s="127"/>
      <x:c r="AB76" s="127"/>
      <x:c r="AC76" s="127"/>
      <x:c r="AD76" s="127"/>
      <x:c r="AE76" s="127"/>
      <x:c r="AF76" s="127"/>
      <x:c r="AG76" s="127"/>
      <x:c r="AH76" s="127"/>
      <x:c r="AI76" s="127"/>
      <x:c r="AJ76" s="127"/>
      <x:c r="AK76" s="127"/>
      <x:c r="AL76" s="127"/>
    </x:row>
    <x:row r="77">
      <x:c r="A77" s="367" t="n">
        <x:f>IF(A76="","",IF(A76+'00_Start'!$B$12&lt;='00_Start'!$B$11,A76+'00_Start'!$B$12,""))</x:f>
        <x:v>51.81550000000017</x:v>
      </x:c>
      <x:c r="B77" s="367" t="n">
        <x:f>IF(A77="","",2/TAN(RADIANS(A77)))</x:f>
        <x:v>1.5729688970176248</x:v>
      </x:c>
      <x:c r="C77" s="369" t="n">
        <x:f>IF($A77="","",ABS(2/T77-'02_Constants'!$D$6)/'02_Constants'!$D$6)</x:f>
        <x:v>0.0013831011606458183</x:v>
      </x:c>
      <x:c r="D77" s="369" t="n">
        <x:f>IF($A77="","",ABS(2/(T77+2*V77)-'02_Constants'!$D$7)/'02_Constants'!$D$7)</x:f>
        <x:v>0.00021414249155727273</x:v>
      </x:c>
      <x:c r="E77" s="369" t="n">
        <x:f>IF($A77="","",ABS((T77+2*V77)/2-'02_Constants'!$D$8)/'02_Constants'!$D$8)</x:f>
        <x:v>0.000019049262698146375</x:v>
      </x:c>
      <x:c r="F77" s="369" t="n">
        <x:f>IF($A77="","",ABS((T77+2*V77)/V77-'02_Constants'!$D$9)/'02_Constants'!$D$9)</x:f>
        <x:v>0.00001904926269816727</x:v>
      </x:c>
      <x:c r="G77" s="369" t="n">
        <x:f>IF($A77="","",ABS(V77-'02_Constants'!$D$10)/'02_Constants'!$D$10)</x:f>
        <x:v>0</x:v>
      </x:c>
      <x:c r="H77" s="369" t="n">
        <x:f>IF($A77="","",ABS((W77+1)/W77-'02_Constants'!$D$11)/'02_Constants'!$D$11)</x:f>
        <x:v>0.00014470868893585139</x:v>
      </x:c>
      <x:c r="I77" s="369" t="n">
        <x:f>IF($A77="","",ABS((U77+2*V77)/(W77+1)-'02_Constants'!$D$12)/'02_Constants'!$D$12)</x:f>
        <x:v>0.0004555450718113828</x:v>
      </x:c>
      <x:c r="J77" s="369" t="n">
        <x:f>IF($A77="","",ABS(X77/U77-'02_Constants'!$D$13)/'02_Constants'!$D$13)</x:f>
        <x:v>0.00021436313298023093</x:v>
      </x:c>
      <x:c r="K77" s="369" t="n">
        <x:f>IF($A77="","",ABS(W77/(W77+U77)-'02_Constants'!$D$14)/'02_Constants'!$D$14)</x:f>
        <x:v>0.00009998124757170721</x:v>
      </x:c>
      <x:c r="L77" s="369" t="n">
        <x:f>IF($A77="","",ABS(W77/U77-'02_Constants'!$D$15)/'02_Constants'!$D$15)</x:f>
        <x:v>0.0002617119664351949</x:v>
      </x:c>
      <x:c r="M77" s="369" t="n">
        <x:f>IF($A77="","",ABS(2*A77/(90-A77)-'02_Constants'!$D$16)/'02_Constants'!$D$16)</x:f>
        <x:v>0.0015918928351023511</x:v>
      </x:c>
      <x:c r="N77" s="369" t="n">
        <x:f>IF($A77="","",ABS(2*A77/(90-A77)-1-'02_Constants'!$D$17)/'02_Constants'!$D$17)</x:f>
        <x:v>0.002518337384964093</x:v>
      </x:c>
      <x:c r="O77" s="369" t="n">
        <x:f>IF(A77="","",AVERAGE(C77:N77))</x:f>
        <x:v>0.0005768235421166846</x:v>
      </x:c>
      <x:c r="P77" s="369" t="n">
        <x:f>IF(A77="","",SUMPRODUCT(C77:N77,'03_12_Errors'!$P$4:$AA$4)/SUM('03_12_Errors'!$P$4:$AA$4))</x:f>
        <x:v>0.0007268342414615725</x:v>
      </x:c>
      <x:c r="Q77" s="369" t="n">
        <x:f>IF(A77="","",SQRT(SUMSQ(C77:N77)/12))</x:f>
        <x:v>0.0009656000048404481</x:v>
      </x:c>
      <x:c r="R77" s="369" t="n">
        <x:f>IF(A77="","",MAX(C77:N77))</x:f>
        <x:v>0.002518337384964093</x:v>
      </x:c>
      <x:c r="S77" s="390" t="n">
        <x:f>IF(A77="","",COUNTIF(C77:N77,"&lt;="&amp;'00_Start'!$B$7))</x:f>
        <x:v>9</x:v>
      </x:c>
      <x:c r="T77" s="365" t="n">
        <x:f>IF(A77="","",0.5*TAN(RADIANS(A77)))</x:f>
        <x:v>0.6357404789732439</x:v>
      </x:c>
      <x:c r="U77" s="365" t="n">
        <x:f>IF(A77="","",0.5)</x:f>
        <x:v>0.5</x:v>
      </x:c>
      <x:c r="V77" s="365" t="n">
        <x:f>IF(A77="","",SQRT(2))</x:f>
        <x:v>1.4142135623730951</x:v>
      </x:c>
      <x:c r="W77" s="365" t="n">
        <x:f>IF(A77="","",SQRT(T77^2+U77^2))</x:f>
        <x:v>0.8088052649464701</x:v>
      </x:c>
      <x:c r="X77" s="365" t="n">
        <x:f>IF(A77="","",SQRT(T77^2+2*U77^2))</x:f>
        <x:v>0.9508764150009872</x:v>
      </x:c>
      <x:c r="Y77" s="127"/>
      <x:c r="Z77" s="127"/>
      <x:c r="AA77" s="127"/>
      <x:c r="AB77" s="127"/>
      <x:c r="AC77" s="127"/>
      <x:c r="AD77" s="127"/>
      <x:c r="AE77" s="127"/>
      <x:c r="AF77" s="127"/>
      <x:c r="AG77" s="127"/>
      <x:c r="AH77" s="127"/>
      <x:c r="AI77" s="127"/>
      <x:c r="AJ77" s="127"/>
      <x:c r="AK77" s="127"/>
      <x:c r="AL77" s="127"/>
    </x:row>
    <x:row r="78">
      <x:c r="A78" s="367" t="n">
        <x:f>IF(A77="","",IF(A77+'00_Start'!$B$12&lt;='00_Start'!$B$11,A77+'00_Start'!$B$12,""))</x:f>
        <x:v>51.81600000000017</x:v>
      </x:c>
      <x:c r="B78" s="367" t="n">
        <x:f>IF(A78="","",2/TAN(RADIANS(A78)))</x:f>
        <x:v>1.5729406480489776</x:v>
      </x:c>
      <x:c r="C78" s="369" t="n">
        <x:f>IF($A78="","",ABS(2/T78-'02_Constants'!$D$6)/'02_Constants'!$D$6)</x:f>
        <x:v>0.0013651173086560375</x:v>
      </x:c>
      <x:c r="D78" s="369" t="n">
        <x:f>IF($A78="","",ABS(2/(T78+2*V78)-'02_Constants'!$D$7)/'02_Constants'!$D$7)</x:f>
        <x:v>0.00021084591785839495</x:v>
      </x:c>
      <x:c r="E78" s="369" t="n">
        <x:f>IF($A78="","",ABS((T78+2*V78)/2-'02_Constants'!$D$8)/'02_Constants'!$D$8)</x:f>
        <x:v>0.000022345204258587065</x:v>
      </x:c>
      <x:c r="F78" s="369" t="n">
        <x:f>IF($A78="","",ABS((T78+2*V78)/V78-'02_Constants'!$D$9)/'02_Constants'!$D$9)</x:f>
        <x:v>0.000022345204258536365</x:v>
      </x:c>
      <x:c r="G78" s="369" t="n">
        <x:f>IF($A78="","",ABS(V78-'02_Constants'!$D$10)/'02_Constants'!$D$10)</x:f>
        <x:v>0</x:v>
      </x:c>
      <x:c r="H78" s="369" t="n">
        <x:f>IF($A78="","",ABS((W78+1)/W78-'02_Constants'!$D$11)/'02_Constants'!$D$11)</x:f>
        <x:v>0.00013857347443977083</x:v>
      </x:c>
      <x:c r="I78" s="369" t="n">
        <x:f>IF($A78="","",ABS((U78+2*V78)/(W78+1)-'02_Constants'!$D$12)/'02_Constants'!$D$12)</x:f>
        <x:v>0.0004505813053687641</x:v>
      </x:c>
      <x:c r="J78" s="369" t="n">
        <x:f>IF($A78="","",ABS(X78/U78-'02_Constants'!$D$13)/'02_Constants'!$D$13)</x:f>
        <x:v>0.00020633691612822208</x:v>
      </x:c>
      <x:c r="K78" s="369" t="n">
        <x:f>IF($A78="","",ABS(W78/(W78+U78)-'02_Constants'!$D$14)/'02_Constants'!$D$14)</x:f>
        <x:v>0.00009574274831674728</x:v>
      </x:c>
      <x:c r="L78" s="369" t="n">
        <x:f>IF($A78="","",ABS(W78/U78-'02_Constants'!$D$15)/'02_Constants'!$D$15)</x:f>
        <x:v>0.0002506189446303889</x:v>
      </x:c>
      <x:c r="M78" s="369" t="n">
        <x:f>IF($A78="","",ABS(2*A78/(90-A78)-'02_Constants'!$D$16)/'02_Constants'!$D$16)</x:f>
        <x:v>0.0015691848030795564</x:v>
      </x:c>
      <x:c r="N78" s="369" t="n">
        <x:f>IF($A78="","",ABS(2*A78/(90-A78)-1-'02_Constants'!$D$17)/'02_Constants'!$D$17)</x:f>
        <x:v>0.0024824138072451893</x:v>
      </x:c>
      <x:c r="O78" s="369" t="n">
        <x:f>IF(A78="","",AVERAGE(C78:N78))</x:f>
        <x:v>0.0005678421361866829</x:v>
      </x:c>
      <x:c r="P78" s="369" t="n">
        <x:f>IF(A78="","",SUMPRODUCT(C78:N78,'03_12_Errors'!$P$4:$AA$4)/SUM('03_12_Errors'!$P$4:$AA$4))</x:f>
        <x:v>0.0007157764444282566</x:v>
      </x:c>
      <x:c r="Q78" s="369" t="n">
        <x:f>IF(A78="","",SQRT(SUMSQ(C78:N78)/12))</x:f>
        <x:v>0.0009517745143143707</x:v>
      </x:c>
      <x:c r="R78" s="369" t="n">
        <x:f>IF(A78="","",MAX(C78:N78))</x:f>
        <x:v>0.0024824138072451893</x:v>
      </x:c>
      <x:c r="S78" s="390" t="n">
        <x:f>IF(A78="","",COUNTIF(C78:N78,"&lt;="&amp;'00_Start'!$B$7))</x:f>
        <x:v>9</x:v>
      </x:c>
      <x:c r="T78" s="365" t="n">
        <x:f>IF(A78="","",0.5*TAN(RADIANS(A78)))</x:f>
        <x:v>0.635751896449727</x:v>
      </x:c>
      <x:c r="U78" s="365" t="n">
        <x:f>IF(A78="","",0.5)</x:f>
        <x:v>0.5</x:v>
      </x:c>
      <x:c r="V78" s="365" t="n">
        <x:f>IF(A78="","",SQRT(2))</x:f>
        <x:v>1.4142135623730951</x:v>
      </x:c>
      <x:c r="W78" s="365" t="n">
        <x:f>IF(A78="","",SQRT(T78^2+U78^2))</x:f>
        <x:v>0.8088142393896292</x:v>
      </x:c>
      <x:c r="X78" s="365" t="n">
        <x:f>IF(A78="","",SQRT(T78^2+2*U78^2))</x:f>
        <x:v>0.9508840485776509</x:v>
      </x:c>
      <x:c r="Y78" s="127"/>
      <x:c r="Z78" s="127"/>
      <x:c r="AA78" s="127"/>
      <x:c r="AB78" s="127"/>
      <x:c r="AC78" s="127"/>
      <x:c r="AD78" s="127"/>
      <x:c r="AE78" s="127"/>
      <x:c r="AF78" s="127"/>
      <x:c r="AG78" s="127"/>
      <x:c r="AH78" s="127"/>
      <x:c r="AI78" s="127"/>
      <x:c r="AJ78" s="127"/>
      <x:c r="AK78" s="127"/>
      <x:c r="AL78" s="127"/>
    </x:row>
    <x:row r="79">
      <x:c r="A79" s="367" t="n">
        <x:f>IF(A78="","",IF(A78+'00_Start'!$B$12&lt;='00_Start'!$B$11,A78+'00_Start'!$B$12,""))</x:f>
        <x:v>51.816500000000175</x:v>
      </x:c>
      <x:c r="B79" s="367" t="n">
        <x:f>IF(A79="","",2/TAN(RADIANS(A79)))</x:f>
        <x:v>1.5729123994680865</x:v>
      </x:c>
      <x:c r="C79" s="369" t="n">
        <x:f>IF($A79="","",ABS(2/T79-'02_Constants'!$D$6)/'02_Constants'!$D$6)</x:f>
        <x:v>0.0013471337035194245</x:v>
      </x:c>
      <x:c r="D79" s="369" t="n">
        <x:f>IF($A79="","",ABS(2/(T79+2*V79)-'02_Constants'!$D$7)/'02_Constants'!$D$7)</x:f>
        <x:v>0.00020754929273192785</x:v>
      </x:c>
      <x:c r="E79" s="369" t="n">
        <x:f>IF($A79="","",ABS((T79+2*V79)/2-'02_Constants'!$D$8)/'02_Constants'!$D$8)</x:f>
        <x:v>0.000025641218963272245</x:v>
      </x:c>
      <x:c r="F79" s="369" t="n">
        <x:f>IF($A79="","",ABS((T79+2*V79)/V79-'02_Constants'!$D$9)/'02_Constants'!$D$9)</x:f>
        <x:v>0.000025641218963306238</x:v>
      </x:c>
      <x:c r="G79" s="369" t="n">
        <x:f>IF($A79="","",ABS(V79-'02_Constants'!$D$10)/'02_Constants'!$D$10)</x:f>
        <x:v>0</x:v>
      </x:c>
      <x:c r="H79" s="369" t="n">
        <x:f>IF($A79="","",ABS((W79+1)/W79-'02_Constants'!$D$11)/'02_Constants'!$D$11)</x:f>
        <x:v>0.00013243821783574035</x:v>
      </x:c>
      <x:c r="I79" s="369" t="n">
        <x:f>IF($A79="","",ABS((U79+2*V79)/(W79+1)-'02_Constants'!$D$12)/'02_Constants'!$D$12)</x:f>
        <x:v>0.0004456174439581441</x:v>
      </x:c>
      <x:c r="J79" s="369" t="n">
        <x:f>IF($A79="","",ABS(X79/U79-'02_Constants'!$D$13)/'02_Constants'!$D$13)</x:f>
        <x:v>0.00019831044144453977</x:v>
      </x:c>
      <x:c r="K79" s="369" t="n">
        <x:f>IF($A79="","",ABS(W79/(W79+U79)-'02_Constants'!$D$14)/'02_Constants'!$D$14)</x:f>
        <x:v>0.0000915041840379123</x:v>
      </x:c>
      <x:c r="L79" s="369" t="n">
        <x:f>IF($A79="","",ABS(W79/U79-'02_Constants'!$D$15)/'02_Constants'!$D$15)</x:f>
        <x:v>0.0002395256005108681</x:v>
      </x:c>
      <x:c r="M79" s="369" t="n">
        <x:f>IF($A79="","",ABS(2*A79/(90-A79)-'02_Constants'!$D$16)/'02_Constants'!$D$16)</x:f>
        <x:v>0.0015464761763486696</x:v>
      </x:c>
      <x:c r="N79" s="369" t="n">
        <x:f>IF($A79="","",ABS(2*A79/(90-A79)-1-'02_Constants'!$D$17)/'02_Constants'!$D$17)</x:f>
        <x:v>0.002446489288711936</x:v>
      </x:c>
      <x:c r="O79" s="369" t="n">
        <x:f>IF(A79="","",AVERAGE(C79:N79))</x:f>
        <x:v>0.0005588605655854784</x:v>
      </x:c>
      <x:c r="P79" s="369" t="n">
        <x:f>IF(A79="","",SUMPRODUCT(C79:N79,'03_12_Errors'!$P$4:$AA$4)/SUM('03_12_Errors'!$P$4:$AA$4))</x:f>
        <x:v>0.0007047184831889035</x:v>
      </x:c>
      <x:c r="Q79" s="369" t="n">
        <x:f>IF(A79="","",SQRT(SUMSQ(C79:N79)/12))</x:f>
        <x:v>0.0009379608476269734</x:v>
      </x:c>
      <x:c r="R79" s="369" t="n">
        <x:f>IF(A79="","",MAX(C79:N79))</x:f>
        <x:v>0.002446489288711936</x:v>
      </x:c>
      <x:c r="S79" s="390" t="n">
        <x:f>IF(A79="","",COUNTIF(C79:N79,"&lt;="&amp;'00_Start'!$B$7))</x:f>
        <x:v>9</x:v>
      </x:c>
      <x:c r="T79" s="365" t="n">
        <x:f>IF(A79="","",0.5*TAN(RADIANS(A79)))</x:f>
        <x:v>0.6357633141795889</x:v>
      </x:c>
      <x:c r="U79" s="365" t="n">
        <x:f>IF(A79="","",0.5)</x:f>
        <x:v>0.5</x:v>
      </x:c>
      <x:c r="V79" s="365" t="n">
        <x:f>IF(A79="","",SQRT(2))</x:f>
        <x:v>1.4142135623730951</x:v>
      </x:c>
      <x:c r="W79" s="365" t="n">
        <x:f>IF(A79="","",SQRT(T79^2+U79^2))</x:f>
        <x:v>0.8088232140935463</x:v>
      </x:c>
      <x:c r="X79" s="365" t="n">
        <x:f>IF(A79="","",SQRT(T79^2+2*U79^2))</x:f>
        <x:v>0.9508916823995331</x:v>
      </x:c>
      <x:c r="Y79" s="127"/>
      <x:c r="Z79" s="127"/>
      <x:c r="AA79" s="127"/>
      <x:c r="AB79" s="127"/>
      <x:c r="AC79" s="127"/>
      <x:c r="AD79" s="127"/>
      <x:c r="AE79" s="127"/>
      <x:c r="AF79" s="127"/>
      <x:c r="AG79" s="127"/>
      <x:c r="AH79" s="127"/>
      <x:c r="AI79" s="127"/>
      <x:c r="AJ79" s="127"/>
      <x:c r="AK79" s="127"/>
      <x:c r="AL79" s="127"/>
    </x:row>
    <x:row r="80">
      <x:c r="A80" s="367" t="n">
        <x:f>IF(A79="","",IF(A79+'00_Start'!$B$12&lt;='00_Start'!$B$11,A79+'00_Start'!$B$12,""))</x:f>
        <x:v>51.81700000000018</x:v>
      </x:c>
      <x:c r="B80" s="367" t="n">
        <x:f>IF(A80="","",2/TAN(RADIANS(A80)))</x:f>
        <x:v>1.5728841512749399</x:v>
      </x:c>
      <x:c r="C80" s="369" t="n">
        <x:f>IF($A80="","",ABS(2/T80-'02_Constants'!$D$6)/'02_Constants'!$D$6)</x:f>
        <x:v>0.0013291503452286288</x:v>
      </x:c>
      <x:c r="D80" s="369" t="n">
        <x:f>IF($A80="","",ABS(2/(T80+2*V80)-'02_Constants'!$D$7)/'02_Constants'!$D$7)</x:f>
        <x:v>0.0002042526161763327</x:v>
      </x:c>
      <x:c r="E80" s="369" t="n">
        <x:f>IF($A80="","",ABS((T80+2*V80)/2-'02_Constants'!$D$8)/'02_Constants'!$D$8)</x:f>
        <x:v>0.000028937306815022262</x:v>
      </x:c>
      <x:c r="F80" s="369" t="n">
        <x:f>IF($A80="","",ABS((T80+2*V80)/V80-'02_Constants'!$D$9)/'02_Constants'!$D$9)</x:f>
        <x:v>0.00002893730681501507</x:v>
      </x:c>
      <x:c r="G80" s="369" t="n">
        <x:f>IF($A80="","",ABS(V80-'02_Constants'!$D$10)/'02_Constants'!$D$10)</x:f>
        <x:v>0</x:v>
      </x:c>
      <x:c r="H80" s="369" t="n">
        <x:f>IF($A80="","",ABS((W80+1)/W80-'02_Constants'!$D$11)/'02_Constants'!$D$11)</x:f>
        <x:v>0.0001263029191245544</x:v>
      </x:c>
      <x:c r="I80" s="369" t="n">
        <x:f>IF($A80="","",ABS((U80+2*V80)/(W80+1)-'02_Constants'!$D$12)/'02_Constants'!$D$12)</x:f>
        <x:v>0.00044065348757783276</x:v>
      </x:c>
      <x:c r="J80" s="369" t="n">
        <x:f>IF($A80="","",ABS(X80/U80-'02_Constants'!$D$13)/'02_Constants'!$D$13)</x:f>
        <x:v>0.00019028370891902818</x:v>
      </x:c>
      <x:c r="K80" s="369" t="n">
        <x:f>IF($A80="","",ABS(W80/(W80+U80)-'02_Constants'!$D$14)/'02_Constants'!$D$14)</x:f>
        <x:v>0.00008726555473430405</x:v>
      </x:c>
      <x:c r="L80" s="369" t="n">
        <x:f>IF($A80="","",ABS(W80/U80-'02_Constants'!$D$15)/'02_Constants'!$D$15)</x:f>
        <x:v>0.00022843193406455617</x:v>
      </x:c>
      <x:c r="M80" s="369" t="n">
        <x:f>IF($A80="","",ABS(2*A80/(90-A80)-'02_Constants'!$D$16)/'02_Constants'!$D$16)</x:f>
        <x:v>0.0015237669548866554</x:v>
      </x:c>
      <x:c r="N80" s="369" t="n">
        <x:f>IF($A80="","",ABS(2*A80/(90-A80)-1-'02_Constants'!$D$17)/'02_Constants'!$D$17)</x:f>
        <x:v>0.0024105638293278925</x:v>
      </x:c>
      <x:c r="O80" s="369" t="n">
        <x:f>IF(A80="","",AVERAGE(C80:N80))</x:f>
        <x:v>0.0005498788303058185</x:v>
      </x:c>
      <x:c r="P80" s="369" t="n">
        <x:f>IF(A80="","",SUMPRODUCT(C80:N80,'03_12_Errors'!$P$4:$AA$4)/SUM('03_12_Errors'!$P$4:$AA$4))</x:f>
        <x:v>0.0006936603577348932</x:v>
      </x:c>
      <x:c r="Q80" s="369" t="n">
        <x:f>IF(A80="","",SQRT(SUMSQ(C80:N80)/12))</x:f>
        <x:v>0.0009241595485391762</x:v>
      </x:c>
      <x:c r="R80" s="369" t="n">
        <x:f>IF(A80="","",MAX(C80:N80))</x:f>
        <x:v>0.0024105638293278925</x:v>
      </x:c>
      <x:c r="S80" s="390" t="n">
        <x:f>IF(A80="","",COUNTIF(C80:N80,"&lt;="&amp;'00_Start'!$B$7))</x:f>
        <x:v>9</x:v>
      </x:c>
      <x:c r="T80" s="365" t="n">
        <x:f>IF(A80="","",0.5*TAN(RADIANS(A80)))</x:f>
        <x:v>0.6357747321628395</x:v>
      </x:c>
      <x:c r="U80" s="365" t="n">
        <x:f>IF(A80="","",0.5)</x:f>
        <x:v>0.5</x:v>
      </x:c>
      <x:c r="V80" s="365" t="n">
        <x:f>IF(A80="","",SQRT(2))</x:f>
        <x:v>1.4142135623730951</x:v>
      </x:c>
      <x:c r="W80" s="365" t="n">
        <x:f>IF(A80="","",SQRT(T80^2+U80^2))</x:f>
        <x:v>0.8088321890582313</x:v>
      </x:c>
      <x:c r="X80" s="365" t="n">
        <x:f>IF(A80="","",SQRT(T80^2+2*U80^2))</x:f>
        <x:v>0.9508993164666437</x:v>
      </x:c>
      <x:c r="Y80" s="127"/>
      <x:c r="Z80" s="127"/>
      <x:c r="AA80" s="127"/>
      <x:c r="AB80" s="127"/>
      <x:c r="AC80" s="127"/>
      <x:c r="AD80" s="127"/>
      <x:c r="AE80" s="127"/>
      <x:c r="AF80" s="127"/>
      <x:c r="AG80" s="127"/>
      <x:c r="AH80" s="127"/>
      <x:c r="AI80" s="127"/>
      <x:c r="AJ80" s="127"/>
      <x:c r="AK80" s="127"/>
      <x:c r="AL80" s="127"/>
    </x:row>
    <x:row r="81">
      <x:c r="A81" s="367" t="n">
        <x:f>IF(A80="","",IF(A80+'00_Start'!$B$12&lt;='00_Start'!$B$11,A80+'00_Start'!$B$12,""))</x:f>
        <x:v>51.81750000000018</x:v>
      </x:c>
      <x:c r="B81" s="367" t="n">
        <x:f>IF(A81="","",2/TAN(RADIANS(A81)))</x:f>
        <x:v>1.5728559034695255</x:v>
      </x:c>
      <x:c r="C81" s="369" t="n">
        <x:f>IF($A81="","",ABS(2/T81-'02_Constants'!$D$6)/'02_Constants'!$D$6)</x:f>
        <x:v>0.0013111672337758758</x:v>
      </x:c>
      <x:c r="D81" s="369" t="n">
        <x:f>IF($A81="","",ABS(2/(T81+2*V81)-'02_Constants'!$D$7)/'02_Constants'!$D$7)</x:f>
        <x:v>0.0002009558881902631</x:v>
      </x:c>
      <x:c r="E81" s="369" t="n">
        <x:f>IF($A81="","",ABS((T81+2*V81)/2-'02_Constants'!$D$8)/'02_Constants'!$D$8)</x:f>
        <x:v>0.000032233467816657464</x:v>
      </x:c>
      <x:c r="F81" s="369" t="n">
        <x:f>IF($A81="","",ABS((T81+2*V81)/V81-'02_Constants'!$D$9)/'02_Constants'!$D$9)</x:f>
        <x:v>0.00003223346781656364</x:v>
      </x:c>
      <x:c r="G81" s="369" t="n">
        <x:f>IF($A81="","",ABS(V81-'02_Constants'!$D$10)/'02_Constants'!$D$10)</x:f>
        <x:v>0</x:v>
      </x:c>
      <x:c r="H81" s="369" t="n">
        <x:f>IF($A81="","",ABS((W81+1)/W81-'02_Constants'!$D$11)/'02_Constants'!$D$11)</x:f>
        <x:v>0.00012016757830680875</x:v>
      </x:c>
      <x:c r="I81" s="369" t="n">
        <x:f>IF($A81="","",ABS((U81+2*V81)/(W81+1)-'02_Constants'!$D$12)/'02_Constants'!$D$12)</x:f>
        <x:v>0.0004356894362258985</x:v>
      </x:c>
      <x:c r="J81" s="369" t="n">
        <x:f>IF($A81="","",ABS(X81/U81-'02_Constants'!$D$13)/'02_Constants'!$D$13)</x:f>
        <x:v>0.0001822567185410647</x:v>
      </x:c>
      <x:c r="K81" s="369" t="n">
        <x:f>IF($A81="","",ABS(W81/(W81+U81)-'02_Constants'!$D$14)/'02_Constants'!$D$14)</x:f>
        <x:v>0.00008302686040520402</x:v>
      </x:c>
      <x:c r="L81" s="369" t="n">
        <x:f>IF($A81="","",ABS(W81/U81-'02_Constants'!$D$15)/'02_Constants'!$D$15)</x:f>
        <x:v>0.00021733794527923955</x:v>
      </x:c>
      <x:c r="M81" s="369" t="n">
        <x:f>IF($A81="","",ABS(2*A81/(90-A81)-'02_Constants'!$D$16)/'02_Constants'!$D$16)</x:f>
        <x:v>0.0015010571386698248</x:v>
      </x:c>
      <x:c r="N81" s="369" t="n">
        <x:f>IF($A81="","",ABS(2*A81/(90-A81)-1-'02_Constants'!$D$17)/'02_Constants'!$D$17)</x:f>
        <x:v>0.0023746374290555834</x:v>
      </x:c>
      <x:c r="O81" s="369" t="n">
        <x:f>IF(A81="","",AVERAGE(C81:N81))</x:f>
        <x:v>0.0005408969303402487</x:v>
      </x:c>
      <x:c r="P81" s="369" t="n">
        <x:f>IF(A81="","",SUMPRODUCT(C81:N81,'03_12_Errors'!$P$4:$AA$4)/SUM('03_12_Errors'!$P$4:$AA$4))</x:f>
        <x:v>0.0006826020680572981</x:v>
      </x:c>
      <x:c r="Q81" s="369" t="n">
        <x:f>IF(A81="","",SQRT(SUMSQ(C81:N81)/12))</x:f>
        <x:v>0.0009103711932969709</x:v>
      </x:c>
      <x:c r="R81" s="369" t="n">
        <x:f>IF(A81="","",MAX(C81:N81))</x:f>
        <x:v>0.0023746374290555834</x:v>
      </x:c>
      <x:c r="S81" s="390" t="n">
        <x:f>IF(A81="","",COUNTIF(C81:N81,"&lt;="&amp;'00_Start'!$B$7))</x:f>
        <x:v>9</x:v>
      </x:c>
      <x:c r="T81" s="365" t="n">
        <x:f>IF(A81="","",0.5*TAN(RADIANS(A81)))</x:f>
        <x:v>0.635786150399489</x:v>
      </x:c>
      <x:c r="U81" s="365" t="n">
        <x:f>IF(A81="","",0.5)</x:f>
        <x:v>0.5</x:v>
      </x:c>
      <x:c r="V81" s="365" t="n">
        <x:f>IF(A81="","",SQRT(2))</x:f>
        <x:v>1.4142135623730951</x:v>
      </x:c>
      <x:c r="W81" s="365" t="n">
        <x:f>IF(A81="","",SQRT(T81^2+U81^2))</x:f>
        <x:v>0.808841164283694</x:v>
      </x:c>
      <x:c r="X81" s="365" t="n">
        <x:f>IF(A81="","",SQRT(T81^2+2*U81^2))</x:f>
        <x:v>0.9509069507789927</x:v>
      </x:c>
      <x:c r="Y81" s="127"/>
      <x:c r="Z81" s="127"/>
      <x:c r="AA81" s="127"/>
      <x:c r="AB81" s="127"/>
      <x:c r="AC81" s="127"/>
      <x:c r="AD81" s="127"/>
      <x:c r="AE81" s="127"/>
      <x:c r="AF81" s="127"/>
      <x:c r="AG81" s="127"/>
      <x:c r="AH81" s="127"/>
      <x:c r="AI81" s="127"/>
      <x:c r="AJ81" s="127"/>
      <x:c r="AK81" s="127"/>
      <x:c r="AL81" s="127"/>
    </x:row>
    <x:row r="82">
      <x:c r="A82" s="367" t="n">
        <x:f>IF(A81="","",IF(A81+'00_Start'!$B$12&lt;='00_Start'!$B$11,A81+'00_Start'!$B$12,""))</x:f>
        <x:v>51.81800000000018</x:v>
      </x:c>
      <x:c r="B82" s="367" t="n">
        <x:f>IF(A82="","",2/TAN(RADIANS(A82)))</x:f>
        <x:v>1.5728276560518308</x:v>
      </x:c>
      <x:c r="C82" s="369" t="n">
        <x:f>IF($A82="","",ABS(2/T82-'02_Constants'!$D$6)/'02_Constants'!$D$6)</x:f>
        <x:v>0.0012931843691531082</x:v>
      </x:c>
      <x:c r="D82" s="369" t="n">
        <x:f>IF($A82="","",ABS(2/(T82+2*V82)-'02_Constants'!$D$7)/'02_Constants'!$D$7)</x:f>
        <x:v>0.00019765910877179565</x:v>
      </x:c>
      <x:c r="E82" s="369" t="n">
        <x:f>IF($A82="","",ABS((T82+2*V82)/2-'02_Constants'!$D$8)/'02_Constants'!$D$8)</x:f>
        <x:v>0.00003552970197112639</x:v>
      </x:c>
      <x:c r="F82" s="369" t="n">
        <x:f>IF($A82="","",ABS((T82+2*V82)/V82-'02_Constants'!$D$9)/'02_Constants'!$D$9)</x:f>
        <x:v>0.00003552970197103402</x:v>
      </x:c>
      <x:c r="G82" s="369" t="n">
        <x:f>IF($A82="","",ABS(V82-'02_Constants'!$D$10)/'02_Constants'!$D$10)</x:f>
        <x:v>0</x:v>
      </x:c>
      <x:c r="H82" s="369" t="n">
        <x:f>IF($A82="","",ABS((W82+1)/W82-'02_Constants'!$D$11)/'02_Constants'!$D$11)</x:f>
        <x:v>0.00011403219538270204</x:v>
      </x:c>
      <x:c r="I82" s="369" t="n">
        <x:f>IF($A82="","",ABS((U82+2*V82)/(W82+1)-'02_Constants'!$D$12)/'02_Constants'!$D$12)</x:f>
        <x:v>0.0004307252899000475</x:v>
      </x:c>
      <x:c r="J82" s="369" t="n">
        <x:f>IF($A82="","",ABS(X82/U82-'02_Constants'!$D$13)/'02_Constants'!$D$13)</x:f>
        <x:v>0.00017422947029990986</x:v>
      </x:c>
      <x:c r="K82" s="369" t="n">
        <x:f>IF($A82="","",ABS(W82/(W82+U82)-'02_Constants'!$D$14)/'02_Constants'!$D$14)</x:f>
        <x:v>0.00007878810104971398</x:v>
      </x:c>
      <x:c r="L82" s="369" t="n">
        <x:f>IF($A82="","",ABS(W82/U82-'02_Constants'!$D$15)/'02_Constants'!$D$15)</x:f>
        <x:v>0.00020624363414215575</x:v>
      </x:c>
      <x:c r="M82" s="369" t="n">
        <x:f>IF($A82="","",ABS(2*A82/(90-A82)-'02_Constants'!$D$16)/'02_Constants'!$D$16)</x:f>
        <x:v>0.0014783467276749795</x:v>
      </x:c>
      <x:c r="N82" s="369" t="n">
        <x:f>IF($A82="","",ABS(2*A82/(90-A82)-1-'02_Constants'!$D$17)/'02_Constants'!$D$17)</x:f>
        <x:v>0.002338710087858309</x:v>
      </x:c>
      <x:c r="O82" s="369" t="n">
        <x:f>IF(A82="","",AVERAGE(C82:N82))</x:f>
        <x:v>0.0005319148656812402</x:v>
      </x:c>
      <x:c r="P82" s="369" t="n">
        <x:f>IF(A82="","",SUMPRODUCT(C82:N82,'03_12_Errors'!$P$4:$AA$4)/SUM('03_12_Errors'!$P$4:$AA$4))</x:f>
        <x:v>0.0006715436141470923</x:v>
      </x:c>
      <x:c r="Q82" s="369" t="n">
        <x:f>IF(A82="","",SQRT(SUMSQ(C82:N82)/12))</x:f>
        <x:v>0.0008965963930507639</x:v>
      </x:c>
      <x:c r="R82" s="369" t="n">
        <x:f>IF(A82="","",MAX(C82:N82))</x:f>
        <x:v>0.002338710087858309</x:v>
      </x:c>
      <x:c r="S82" s="390" t="n">
        <x:f>IF(A82="","",COUNTIF(C82:N82,"&lt;="&amp;'00_Start'!$B$7))</x:f>
        <x:v>9</x:v>
      </x:c>
      <x:c r="T82" s="365" t="n">
        <x:f>IF(A82="","",0.5*TAN(RADIANS(A82)))</x:f>
        <x:v>0.6357975688895479</x:v>
      </x:c>
      <x:c r="U82" s="365" t="n">
        <x:f>IF(A82="","",0.5)</x:f>
        <x:v>0.5</x:v>
      </x:c>
      <x:c r="V82" s="365" t="n">
        <x:f>IF(A82="","",SQRT(2))</x:f>
        <x:v>1.4142135623730951</x:v>
      </x:c>
      <x:c r="W82" s="365" t="n">
        <x:f>IF(A82="","",SQRT(T82^2+U82^2))</x:f>
        <x:v>0.8088501397699448</x:v>
      </x:c>
      <x:c r="X82" s="365" t="n">
        <x:f>IF(A82="","",SQRT(T82^2+2*U82^2))</x:f>
        <x:v>0.9509145853365902</x:v>
      </x:c>
      <x:c r="Y82" s="127"/>
      <x:c r="Z82" s="127"/>
      <x:c r="AA82" s="127"/>
      <x:c r="AB82" s="127"/>
      <x:c r="AC82" s="127"/>
      <x:c r="AD82" s="127"/>
      <x:c r="AE82" s="127"/>
      <x:c r="AF82" s="127"/>
      <x:c r="AG82" s="127"/>
      <x:c r="AH82" s="127"/>
      <x:c r="AI82" s="127"/>
      <x:c r="AJ82" s="127"/>
      <x:c r="AK82" s="127"/>
      <x:c r="AL82" s="127"/>
    </x:row>
    <x:row r="83">
      <x:c r="A83" s="367" t="n">
        <x:f>IF(A82="","",IF(A82+'00_Start'!$B$12&lt;='00_Start'!$B$11,A82+'00_Start'!$B$12,""))</x:f>
        <x:v>51.818500000000185</x:v>
      </x:c>
      <x:c r="B83" s="367" t="n">
        <x:f>IF(A83="","",2/TAN(RADIANS(A83)))</x:f>
        <x:v>1.5727994090218442</x:v>
      </x:c>
      <x:c r="C83" s="369" t="n">
        <x:f>IF($A83="","",ABS(2/T83-'02_Constants'!$D$6)/'02_Constants'!$D$6)</x:f>
        <x:v>0.001275201751352975</x:v>
      </x:c>
      <x:c r="D83" s="369" t="n">
        <x:f>IF($A83="","",ABS(2/(T83+2*V83)-'02_Constants'!$D$7)/'02_Constants'!$D$7)</x:f>
        <x:v>0.00019436227791900693</x:v>
      </x:c>
      <x:c r="E83" s="369" t="n">
        <x:f>IF($A83="","",ABS((T83+2*V83)/2-'02_Constants'!$D$8)/'02_Constants'!$D$8)</x:f>
        <x:v>0.00003882600928150578</x:v>
      </x:c>
      <x:c r="F83" s="369" t="n">
        <x:f>IF($A83="","",ABS((T83+2*V83)/V83-'02_Constants'!$D$9)/'02_Constants'!$D$9)</x:f>
        <x:v>0.00003882600928150829</x:v>
      </x:c>
      <x:c r="G83" s="369" t="n">
        <x:f>IF($A83="","",ABS(V83-'02_Constants'!$D$10)/'02_Constants'!$D$10)</x:f>
        <x:v>0</x:v>
      </x:c>
      <x:c r="H83" s="369" t="n">
        <x:f>IF($A83="","",ABS((W83+1)/W83-'02_Constants'!$D$11)/'02_Constants'!$D$11)</x:f>
        <x:v>0.00010789677035302867</x:v>
      </x:c>
      <x:c r="I83" s="369" t="n">
        <x:f>IF($A83="","",ABS((U83+2*V83)/(W83+1)-'02_Constants'!$D$12)/'02_Constants'!$D$12)</x:f>
        <x:v>0.00042576104859846903</x:v>
      </x:c>
      <x:c r="J83" s="369" t="n">
        <x:f>IF($A83="","",ABS(X83/U83-'02_Constants'!$D$13)/'02_Constants'!$D$13)</x:f>
        <x:v>0.00016620196418540794</x:v>
      </x:c>
      <x:c r="K83" s="369" t="n">
        <x:f>IF($A83="","",ABS(W83/(W83+U83)-'02_Constants'!$D$14)/'02_Constants'!$D$14)</x:f>
        <x:v>0.00007454927666693579</x:v>
      </x:c>
      <x:c r="L83" s="369" t="n">
        <x:f>IF($A83="","",ABS(W83/U83-'02_Constants'!$D$15)/'02_Constants'!$D$15)</x:f>
        <x:v>0.00019514900064109122</x:v>
      </x:c>
      <x:c r="M83" s="369" t="n">
        <x:f>IF($A83="","",ABS(2*A83/(90-A83)-'02_Constants'!$D$16)/'02_Constants'!$D$16)</x:f>
        <x:v>0.0014556357218785936</x:v>
      </x:c>
      <x:c r="N83" s="369" t="n">
        <x:f>IF($A83="","",ABS(2*A83/(90-A83)-1-'02_Constants'!$D$17)/'02_Constants'!$D$17)</x:f>
        <x:v>0.0023027818056988525</x:v>
      </x:c>
      <x:c r="O83" s="369" t="n">
        <x:f>IF(A83="","",AVERAGE(C83:N83))</x:f>
        <x:v>0.0005229326363214479</x:v>
      </x:c>
      <x:c r="P83" s="369" t="n">
        <x:f>IF(A83="","",SUMPRODUCT(C83:N83,'03_12_Errors'!$P$4:$AA$4)/SUM('03_12_Errors'!$P$4:$AA$4))</x:f>
        <x:v>0.0006604849959955446</x:v>
      </x:c>
      <x:c r="Q83" s="369" t="n">
        <x:f>IF(A83="","",SQRT(SUMSQ(C83:N83)/12))</x:f>
        <x:v>0.0008828357964890681</x:v>
      </x:c>
      <x:c r="R83" s="369" t="n">
        <x:f>IF(A83="","",MAX(C83:N83))</x:f>
        <x:v>0.0023027818056988525</x:v>
      </x:c>
      <x:c r="S83" s="390" t="n">
        <x:f>IF(A83="","",COUNTIF(C83:N83,"&lt;="&amp;'00_Start'!$B$7))</x:f>
        <x:v>9</x:v>
      </x:c>
      <x:c r="T83" s="365" t="n">
        <x:f>IF(A83="","",0.5*TAN(RADIANS(A83)))</x:f>
        <x:v>0.6358089876330257</x:v>
      </x:c>
      <x:c r="U83" s="365" t="n">
        <x:f>IF(A83="","",0.5)</x:f>
        <x:v>0.5</x:v>
      </x:c>
      <x:c r="V83" s="365" t="n">
        <x:f>IF(A83="","",SQRT(2))</x:f>
        <x:v>1.4142135623730951</x:v>
      </x:c>
      <x:c r="W83" s="365" t="n">
        <x:f>IF(A83="","",SQRT(T83^2+U83^2))</x:f>
        <x:v>0.8088591155169935</x:v>
      </x:c>
      <x:c r="X83" s="365" t="n">
        <x:f>IF(A83="","",SQRT(T83^2+2*U83^2))</x:f>
        <x:v>0.950922220139446</x:v>
      </x:c>
      <x:c r="Y83" s="127"/>
      <x:c r="Z83" s="127"/>
      <x:c r="AA83" s="127"/>
      <x:c r="AB83" s="127"/>
      <x:c r="AC83" s="127"/>
      <x:c r="AD83" s="127"/>
      <x:c r="AE83" s="127"/>
      <x:c r="AF83" s="127"/>
      <x:c r="AG83" s="127"/>
      <x:c r="AH83" s="127"/>
      <x:c r="AI83" s="127"/>
      <x:c r="AJ83" s="127"/>
      <x:c r="AK83" s="127"/>
      <x:c r="AL83" s="127"/>
    </x:row>
    <x:row r="84">
      <x:c r="A84" s="367" t="n">
        <x:f>IF(A83="","",IF(A83+'00_Start'!$B$12&lt;='00_Start'!$B$11,A83+'00_Start'!$B$12,""))</x:f>
        <x:v>51.81900000000019</x:v>
      </x:c>
      <x:c r="B84" s="367" t="n">
        <x:f>IF(A84="","",2/TAN(RADIANS(A84)))</x:f>
        <x:v>1.5727711623795522</x:v>
      </x:c>
      <x:c r="C84" s="369" t="n">
        <x:f>IF($A84="","",ABS(2/T84-'02_Constants'!$D$6)/'02_Constants'!$D$6)</x:f>
        <x:v>0.0012572193803668539</x:v>
      </x:c>
      <x:c r="D84" s="369" t="n">
        <x:f>IF($A84="","",ABS(2/(T84+2*V84)-'02_Constants'!$D$7)/'02_Constants'!$D$7)</x:f>
        <x:v>0.0001910653956301659</x:v>
      </x:c>
      <x:c r="E84" s="369" t="n">
        <x:f>IF($A84="","",ABS((T84+2*V84)/2-'02_Constants'!$D$8)/'02_Constants'!$D$8)</x:f>
        <x:v>0.00004212238975087238</x:v>
      </x:c>
      <x:c r="F84" s="369" t="n">
        <x:f>IF($A84="","",ABS((T84+2*V84)/V84-'02_Constants'!$D$9)/'02_Constants'!$D$9)</x:f>
        <x:v>0.00004212238975088724</x:v>
      </x:c>
      <x:c r="G84" s="369" t="n">
        <x:f>IF($A84="","",ABS(V84-'02_Constants'!$D$10)/'02_Constants'!$D$10)</x:f>
        <x:v>0</x:v>
      </x:c>
      <x:c r="H84" s="369" t="n">
        <x:f>IF($A84="","",ABS((W84+1)/W84-'02_Constants'!$D$11)/'02_Constants'!$D$11)</x:f>
        <x:v>0.00010176130321778864</x:v>
      </x:c>
      <x:c r="I84" s="369" t="n">
        <x:f>IF($A84="","",ABS((U84+2*V84)/(W84+1)-'02_Constants'!$D$12)/'02_Constants'!$D$12)</x:f>
        <x:v>0.00042079671231898995</x:v>
      </x:c>
      <x:c r="J84" s="369" t="n">
        <x:f>IF($A84="","",ABS(X84/U84-'02_Constants'!$D$13)/'02_Constants'!$D$13)</x:f>
        <x:v>0.000158174200186586</x:v>
      </x:c>
      <x:c r="K84" s="369" t="n">
        <x:f>IF($A84="","",ABS(W84/(W84+U84)-'02_Constants'!$D$14)/'02_Constants'!$D$14)</x:f>
        <x:v>0.00007031038725561193</x:v>
      </x:c>
      <x:c r="L84" s="369" t="n">
        <x:f>IF($A84="","",ABS(W84/U84-'02_Constants'!$D$15)/'02_Constants'!$D$15)</x:f>
        <x:v>0.00018405404476328342</x:v>
      </x:c>
      <x:c r="M84" s="369" t="n">
        <x:f>IF($A84="","",ABS(2*A84/(90-A84)-'02_Constants'!$D$16)/'02_Constants'!$D$16)</x:f>
        <x:v>0.0014329241212574688</x:v>
      </x:c>
      <x:c r="N84" s="369" t="n">
        <x:f>IF($A84="","",ABS(2*A84/(90-A84)-1-'02_Constants'!$D$17)/'02_Constants'!$D$17)</x:f>
        <x:v>0.002266852582540514</x:v>
      </x:c>
      <x:c r="O84" s="369" t="n">
        <x:f>IF(A84="","",AVERAGE(C84:N84))</x:f>
        <x:v>0.0005139502422532519</x:v>
      </x:c>
      <x:c r="P84" s="369" t="n">
        <x:f>IF(A84="","",SUMPRODUCT(C84:N84,'03_12_Errors'!$P$4:$AA$4)/SUM('03_12_Errors'!$P$4:$AA$4))</x:f>
        <x:v>0.000649426213593493</x:v>
      </x:c>
      <x:c r="Q84" s="369" t="n">
        <x:f>IF(A84="","",SQRT(SUMSQ(C84:N84)/12))</x:f>
        <x:v>0.0008690900927095889</x:v>
      </x:c>
      <x:c r="R84" s="369" t="n">
        <x:f>IF(A84="","",MAX(C84:N84))</x:f>
        <x:v>0.002266852582540514</x:v>
      </x:c>
      <x:c r="S84" s="390" t="n">
        <x:f>IF(A84="","",COUNTIF(C84:N84,"&lt;="&amp;'00_Start'!$B$7))</x:f>
        <x:v>9</x:v>
      </x:c>
      <x:c r="T84" s="365" t="n">
        <x:f>IF(A84="","",0.5*TAN(RADIANS(A84)))</x:f>
        <x:v>0.6358204066299334</x:v>
      </x:c>
      <x:c r="U84" s="365" t="n">
        <x:f>IF(A84="","",0.5)</x:f>
        <x:v>0.5</x:v>
      </x:c>
      <x:c r="V84" s="365" t="n">
        <x:f>IF(A84="","",SQRT(2))</x:f>
        <x:v>1.4142135623730951</x:v>
      </x:c>
      <x:c r="W84" s="365" t="n">
        <x:f>IF(A84="","",SQRT(T84^2+U84^2))</x:f>
        <x:v>0.8088680915248505</x:v>
      </x:c>
      <x:c r="X84" s="365" t="n">
        <x:f>IF(A84="","",SQRT(T84^2+2*U84^2))</x:f>
        <x:v>0.9509298551875706</x:v>
      </x:c>
      <x:c r="Y84" s="127"/>
      <x:c r="Z84" s="127"/>
      <x:c r="AA84" s="127"/>
      <x:c r="AB84" s="127"/>
      <x:c r="AC84" s="127"/>
      <x:c r="AD84" s="127"/>
      <x:c r="AE84" s="127"/>
      <x:c r="AF84" s="127"/>
      <x:c r="AG84" s="127"/>
      <x:c r="AH84" s="127"/>
      <x:c r="AI84" s="127"/>
      <x:c r="AJ84" s="127"/>
      <x:c r="AK84" s="127"/>
      <x:c r="AL84" s="127"/>
    </x:row>
    <x:row r="85">
      <x:c r="A85" s="367" t="n">
        <x:f>IF(A84="","",IF(A84+'00_Start'!$B$12&lt;='00_Start'!$B$11,A84+'00_Start'!$B$12,""))</x:f>
        <x:v>51.81950000000019</x:v>
      </x:c>
      <x:c r="B85" s="367" t="n">
        <x:f>IF(A85="","",2/TAN(RADIANS(A85)))</x:f>
        <x:v>1.5727429161249438</x:v>
      </x:c>
      <x:c r="C85" s="369" t="n">
        <x:f>IF($A85="","",ABS(2/T85-'02_Constants'!$D$6)/'02_Constants'!$D$6)</x:f>
        <x:v>0.0012392372561878177</x:v>
      </x:c>
      <x:c r="D85" s="369" t="n">
        <x:f>IF($A85="","",ABS(2/(T85+2*V85)-'02_Constants'!$D$7)/'02_Constants'!$D$7)</x:f>
        <x:v>0.00018776846190392613</x:v>
      </x:c>
      <x:c r="E85" s="369" t="n">
        <x:f>IF($A85="","",ABS((T85+2*V85)/2-'02_Constants'!$D$8)/'02_Constants'!$D$8)</x:f>
        <x:v>0.00004541884338179013</x:v>
      </x:c>
      <x:c r="F85" s="369" t="n">
        <x:f>IF($A85="","",ABS((T85+2*V85)/V85-'02_Constants'!$D$9)/'02_Constants'!$D$9)</x:f>
        <x:v>0.00004541884338170904</x:v>
      </x:c>
      <x:c r="G85" s="369" t="n">
        <x:f>IF($A85="","",ABS(V85-'02_Constants'!$D$10)/'02_Constants'!$D$10)</x:f>
        <x:v>0</x:v>
      </x:c>
      <x:c r="H85" s="369" t="n">
        <x:f>IF($A85="","",ABS((W85+1)/W85-'02_Constants'!$D$11)/'02_Constants'!$D$11)</x:f>
        <x:v>0.00009562579397777634</x:v>
      </x:c>
      <x:c r="I85" s="369" t="n">
        <x:f>IF($A85="","",ABS((U85+2*V85)/(W85+1)-'02_Constants'!$D$12)/'02_Constants'!$D$12)</x:f>
        <x:v>0.0004158322810599202</x:v>
      </x:c>
      <x:c r="J85" s="369" t="n">
        <x:f>IF($A85="","",ABS(X85/U85-'02_Constants'!$D$13)/'02_Constants'!$D$13)</x:f>
        <x:v>0.00015014617829328832</x:v>
      </x:c>
      <x:c r="K85" s="369" t="n">
        <x:f>IF($A85="","",ABS(W85/(W85+U85)-'02_Constants'!$D$14)/'02_Constants'!$D$14)</x:f>
        <x:v>0.00006607143281538317</x:v>
      </x:c>
      <x:c r="L85" s="369" t="n">
        <x:f>IF($A85="","",ABS(W85/U85-'02_Constants'!$D$15)/'02_Constants'!$D$15)</x:f>
        <x:v>0.0001729587664967933</x:v>
      </x:c>
      <x:c r="M85" s="369" t="n">
        <x:f>IF($A85="","",ABS(2*A85/(90-A85)-'02_Constants'!$D$16)/'02_Constants'!$D$16)</x:f>
        <x:v>0.0014102119257882425</x:v>
      </x:c>
      <x:c r="N85" s="369" t="n">
        <x:f>IF($A85="","",ABS(2*A85/(90-A85)-1-'02_Constants'!$D$17)/'02_Constants'!$D$17)</x:f>
        <x:v>0.002230922418346335</x:v>
      </x:c>
      <x:c r="O85" s="369" t="n">
        <x:f>IF(A85="","",AVERAGE(C85:N85))</x:f>
        <x:v>0.0005049676834694151</x:v>
      </x:c>
      <x:c r="P85" s="369" t="n">
        <x:f>IF(A85="","",SUMPRODUCT(C85:N85,'03_12_Errors'!$P$4:$AA$4)/SUM('03_12_Errors'!$P$4:$AA$4))</x:f>
        <x:v>0.0006383672669323514</x:v>
      </x:c>
      <x:c r="Q85" s="369" t="n">
        <x:f>IF(A85="","",SQRT(SUMSQ(C85:N85)/12))</x:f>
        <x:v>0.0008553600143525054</x:v>
      </x:c>
      <x:c r="R85" s="369" t="n">
        <x:f>IF(A85="","",MAX(C85:N85))</x:f>
        <x:v>0.002230922418346335</x:v>
      </x:c>
      <x:c r="S85" s="390" t="n">
        <x:f>IF(A85="","",COUNTIF(C85:N85,"&lt;="&amp;'00_Start'!$B$7))</x:f>
        <x:v>9</x:v>
      </x:c>
      <x:c r="T85" s="365" t="n">
        <x:f>IF(A85="","",0.5*TAN(RADIANS(A85)))</x:f>
        <x:v>0.6358318258802806</x:v>
      </x:c>
      <x:c r="U85" s="365" t="n">
        <x:f>IF(A85="","",0.5)</x:f>
        <x:v>0.5</x:v>
      </x:c>
      <x:c r="V85" s="365" t="n">
        <x:f>IF(A85="","",SQRT(2))</x:f>
        <x:v>1.4142135623730951</x:v>
      </x:c>
      <x:c r="W85" s="365" t="n">
        <x:f>IF(A85="","",SQRT(T85^2+U85^2))</x:f>
        <x:v>0.8088770677935254</x:v>
      </x:c>
      <x:c r="X85" s="365" t="n">
        <x:f>IF(A85="","",SQRT(T85^2+2*U85^2))</x:f>
        <x:v>0.9509374904809734</x:v>
      </x:c>
      <x:c r="Y85" s="127"/>
      <x:c r="Z85" s="127"/>
      <x:c r="AA85" s="127"/>
      <x:c r="AB85" s="127"/>
      <x:c r="AC85" s="127"/>
      <x:c r="AD85" s="127"/>
      <x:c r="AE85" s="127"/>
      <x:c r="AF85" s="127"/>
      <x:c r="AG85" s="127"/>
      <x:c r="AH85" s="127"/>
      <x:c r="AI85" s="127"/>
      <x:c r="AJ85" s="127"/>
      <x:c r="AK85" s="127"/>
      <x:c r="AL85" s="127"/>
    </x:row>
    <x:row r="86">
      <x:c r="A86" s="367" t="n">
        <x:f>IF(A85="","",IF(A85+'00_Start'!$B$12&lt;='00_Start'!$B$11,A85+'00_Start'!$B$12,""))</x:f>
        <x:v>51.82000000000019</x:v>
      </x:c>
      <x:c r="B86" s="367" t="n">
        <x:f>IF(A86="","",2/TAN(RADIANS(A86)))</x:f>
        <x:v>1.572714670258006</x:v>
      </x:c>
      <x:c r="C86" s="369" t="n">
        <x:f>IF($A86="","",ABS(2/T86-'02_Constants'!$D$6)/'02_Constants'!$D$6)</x:f>
        <x:v>0.0012212553788075269</x:v>
      </x:c>
      <x:c r="D86" s="369" t="n">
        <x:f>IF($A86="","",ABS(2/(T86+2*V86)-'02_Constants'!$D$7)/'02_Constants'!$D$7)</x:f>
        <x:v>0.00018447147673836424</x:v>
      </x:c>
      <x:c r="E86" s="369" t="n">
        <x:f>IF($A86="","",ABS((T86+2*V86)/2-'02_Constants'!$D$8)/'02_Constants'!$D$8)</x:f>
        <x:v>0.00004871537017733578</x:v>
      </x:c>
      <x:c r="F86" s="369" t="n">
        <x:f>IF($A86="","",ABS((T86+2*V86)/V86-'02_Constants'!$D$9)/'02_Constants'!$D$9)</x:f>
        <x:v>0.00004871537017723706</x:v>
      </x:c>
      <x:c r="G86" s="369" t="n">
        <x:f>IF($A86="","",ABS(V86-'02_Constants'!$D$10)/'02_Constants'!$D$10)</x:f>
        <x:v>0</x:v>
      </x:c>
      <x:c r="H86" s="369" t="n">
        <x:f>IF($A86="","",ABS((W86+1)/W86-'02_Constants'!$D$11)/'02_Constants'!$D$11)</x:f>
        <x:v>0.0000894902426335876</x:v>
      </x:c>
      <x:c r="I86" s="369" t="n">
        <x:f>IF($A86="","",ABS((U86+2*V86)/(W86+1)-'02_Constants'!$D$12)/'02_Constants'!$D$12)</x:f>
        <x:v>0.00041086775481896605</x:v>
      </x:c>
      <x:c r="J86" s="369" t="n">
        <x:f>IF($A86="","",ABS(X86/U86-'02_Constants'!$D$13)/'02_Constants'!$D$13)</x:f>
        <x:v>0.00014211789849465873</x:v>
      </x:c>
      <x:c r="K86" s="369" t="n">
        <x:f>IF($A86="","",ABS(W86/(W86+U86)-'02_Constants'!$D$14)/'02_Constants'!$D$14)</x:f>
        <x:v>0.00006183241334553093</x:v>
      </x:c>
      <x:c r="L86" s="369" t="n">
        <x:f>IF($A86="","",ABS(W86/U86-'02_Constants'!$D$15)/'02_Constants'!$D$15)</x:f>
        <x:v>0.00016186316582899555</x:v>
      </x:c>
      <x:c r="M86" s="369" t="n">
        <x:f>IF($A86="","",ABS(2*A86/(90-A86)-'02_Constants'!$D$16)/'02_Constants'!$D$16)</x:f>
        <x:v>0.0013874991354473896</x:v>
      </x:c>
      <x:c r="N86" s="369" t="n">
        <x:f>IF($A86="","",ABS(2*A86/(90-A86)-1-'02_Constants'!$D$17)/'02_Constants'!$D$17)</x:f>
        <x:v>0.002194991313079099</x:v>
      </x:c>
      <x:c r="O86" s="369" t="n">
        <x:f>IF(A86="","",AVERAGE(C86:N86))</x:f>
        <x:v>0.0004959849599623909</x:v>
      </x:c>
      <x:c r="P86" s="369" t="n">
        <x:f>IF(A86="","",SUMPRODUCT(C86:N86,'03_12_Errors'!$P$4:$AA$4)/SUM('03_12_Errors'!$P$4:$AA$4))</x:f>
        <x:v>0.0006273081560030135</x:v>
      </x:c>
      <x:c r="Q86" s="369" t="n">
        <x:f>IF(A86="","",SQRT(SUMSQ(C86:N86)/12))</x:f>
        <x:v>0.0008416463410226007</x:v>
      </x:c>
      <x:c r="R86" s="369" t="n">
        <x:f>IF(A86="","",MAX(C86:N86))</x:f>
        <x:v>0.002194991313079099</x:v>
      </x:c>
      <x:c r="S86" s="390" t="n">
        <x:f>IF(A86="","",COUNTIF(C86:N86,"&lt;="&amp;'00_Start'!$B$7))</x:f>
        <x:v>9</x:v>
      </x:c>
      <x:c r="T86" s="365" t="n">
        <x:f>IF(A86="","",0.5*TAN(RADIANS(A86)))</x:f>
        <x:v>0.6358432453840777</x:v>
      </x:c>
      <x:c r="U86" s="365" t="n">
        <x:f>IF(A86="","",0.5)</x:f>
        <x:v>0.5</x:v>
      </x:c>
      <x:c r="V86" s="365" t="n">
        <x:f>IF(A86="","",SQRT(2))</x:f>
        <x:v>1.4142135623730951</x:v>
      </x:c>
      <x:c r="W86" s="365" t="n">
        <x:f>IF(A86="","",SQRT(T86^2+U86^2))</x:f>
        <x:v>0.8088860443230285</x:v>
      </x:c>
      <x:c r="X86" s="365" t="n">
        <x:f>IF(A86="","",SQRT(T86^2+2*U86^2))</x:f>
        <x:v>0.950945126019665</x:v>
      </x:c>
      <x:c r="Y86" s="127"/>
      <x:c r="Z86" s="127"/>
      <x:c r="AA86" s="127"/>
      <x:c r="AB86" s="127"/>
      <x:c r="AC86" s="127"/>
      <x:c r="AD86" s="127"/>
      <x:c r="AE86" s="127"/>
      <x:c r="AF86" s="127"/>
      <x:c r="AG86" s="127"/>
      <x:c r="AH86" s="127"/>
      <x:c r="AI86" s="127"/>
      <x:c r="AJ86" s="127"/>
      <x:c r="AK86" s="127"/>
      <x:c r="AL86" s="127"/>
    </x:row>
    <x:row r="87">
      <x:c r="A87" s="367" t="n">
        <x:f>IF(A86="","",IF(A86+'00_Start'!$B$12&lt;='00_Start'!$B$11,A86+'00_Start'!$B$12,""))</x:f>
        <x:v>51.820500000000195</x:v>
      </x:c>
      <x:c r="B87" s="367" t="n">
        <x:f>IF(A87="","",2/TAN(RADIANS(A87)))</x:f>
        <x:v>1.5726864247787262</x:v>
      </x:c>
      <x:c r="C87" s="369" t="n">
        <x:f>IF($A87="","",ABS(2/T87-'02_Constants'!$D$6)/'02_Constants'!$D$6)</x:f>
        <x:v>0.0012032737482180651</x:v>
      </x:c>
      <x:c r="D87" s="369" t="n">
        <x:f>IF($A87="","",ABS(2/(T87+2*V87)-'02_Constants'!$D$7)/'02_Constants'!$D$7)</x:f>
        <x:v>0.00018117444013194148</x:v>
      </x:c>
      <x:c r="E87" s="369" t="n">
        <x:f>IF($A87="","",ABS((T87+2*V87)/2-'02_Constants'!$D$8)/'02_Constants'!$D$8)</x:f>
        <x:v>0.00005201197014058607</x:v>
      </x:c>
      <x:c r="F87" s="369" t="n">
        <x:f>IF($A87="","",ABS((T87+2*V87)/V87-'02_Constants'!$D$9)/'02_Constants'!$D$9)</x:f>
        <x:v>0.00005201197014055339</x:v>
      </x:c>
      <x:c r="G87" s="369" t="n">
        <x:f>IF($A87="","",ABS(V87-'02_Constants'!$D$10)/'02_Constants'!$D$10)</x:f>
        <x:v>0</x:v>
      </x:c>
      <x:c r="H87" s="369" t="n">
        <x:f>IF($A87="","",ABS((W87+1)/W87-'02_Constants'!$D$11)/'02_Constants'!$D$11)</x:f>
        <x:v>0.00008335464918522243</x:v>
      </x:c>
      <x:c r="I87" s="369" t="n">
        <x:f>IF($A87="","",ABS((U87+2*V87)/(W87+1)-'02_Constants'!$D$12)/'02_Constants'!$D$12)</x:f>
        <x:v>0.00040590313359431665</x:v>
      </x:c>
      <x:c r="J87" s="369" t="n">
        <x:f>IF($A87="","",ABS(X87/U87-'02_Constants'!$D$13)/'02_Constants'!$D$13)</x:f>
        <x:v>0.00013408936078042476</x:v>
      </x:c>
      <x:c r="K87" s="369" t="n">
        <x:f>IF($A87="","",ABS(W87/(W87+U87)-'02_Constants'!$D$14)/'02_Constants'!$D$14)</x:f>
        <x:v>0.00005759332884443848</x:v>
      </x:c>
      <x:c r="L87" s="369" t="n">
        <x:f>IF($A87="","",ABS(W87/U87-'02_Constants'!$D$15)/'02_Constants'!$D$15)</x:f>
        <x:v>0.00015076724274726492</x:v>
      </x:c>
      <x:c r="M87" s="369" t="n">
        <x:f>IF($A87="","",ABS(2*A87/(90-A87)-'02_Constants'!$D$16)/'02_Constants'!$D$16)</x:f>
        <x:v>0.0013647857502117114</x:v>
      </x:c>
      <x:c r="N87" s="369" t="n">
        <x:f>IF($A87="","",ABS(2*A87/(90-A87)-1-'02_Constants'!$D$17)/'02_Constants'!$D$17)</x:f>
        <x:v>0.002159059266702106</x:v>
      </x:c>
      <x:c r="O87" s="369" t="n">
        <x:f>IF(A87="","",AVERAGE(C87:N87))</x:f>
        <x:v>0.00048700207172471926</x:v>
      </x:c>
      <x:c r="P87" s="369" t="n">
        <x:f>IF(A87="","",SUMPRODUCT(C87:N87,'03_12_Errors'!$P$4:$AA$4)/SUM('03_12_Errors'!$P$4:$AA$4))</x:f>
        <x:v>0.0006162488807966197</x:v>
      </x:c>
      <x:c r="Q87" s="369" t="n">
        <x:f>IF(A87="","",SQRT(SUMSQ(C87:N87)/12))</x:f>
        <x:v>0.000827949903032929</x:v>
      </x:c>
      <x:c r="R87" s="369" t="n">
        <x:f>IF(A87="","",MAX(C87:N87))</x:f>
        <x:v>0.002159059266702106</x:v>
      </x:c>
      <x:c r="S87" s="390" t="n">
        <x:f>IF(A87="","",COUNTIF(C87:N87,"&lt;="&amp;'00_Start'!$B$7))</x:f>
        <x:v>9</x:v>
      </x:c>
      <x:c r="T87" s="365" t="n">
        <x:f>IF(A87="","",0.5*TAN(RADIANS(A87)))</x:f>
        <x:v>0.6358546651413348</x:v>
      </x:c>
      <x:c r="U87" s="365" t="n">
        <x:f>IF(A87="","",0.5)</x:f>
        <x:v>0.5</x:v>
      </x:c>
      <x:c r="V87" s="365" t="n">
        <x:f>IF(A87="","",SQRT(2))</x:f>
        <x:v>1.4142135623730951</x:v>
      </x:c>
      <x:c r="W87" s="365" t="n">
        <x:f>IF(A87="","",SQRT(T87^2+U87^2))</x:f>
        <x:v>0.8088950211133699</x:v>
      </x:c>
      <x:c r="X87" s="365" t="n">
        <x:f>IF(A87="","",SQRT(T87^2+2*U87^2))</x:f>
        <x:v>0.950952761803655</x:v>
      </x:c>
      <x:c r="Y87" s="127"/>
      <x:c r="Z87" s="127"/>
      <x:c r="AA87" s="127"/>
      <x:c r="AB87" s="127"/>
      <x:c r="AC87" s="127"/>
      <x:c r="AD87" s="127"/>
      <x:c r="AE87" s="127"/>
      <x:c r="AF87" s="127"/>
      <x:c r="AG87" s="127"/>
      <x:c r="AH87" s="127"/>
      <x:c r="AI87" s="127"/>
      <x:c r="AJ87" s="127"/>
      <x:c r="AK87" s="127"/>
      <x:c r="AL87" s="127"/>
    </x:row>
    <x:row r="88">
      <x:c r="A88" s="367" t="n">
        <x:f>IF(A87="","",IF(A87+'00_Start'!$B$12&lt;='00_Start'!$B$11,A87+'00_Start'!$B$12,""))</x:f>
        <x:v>51.8210000000002</x:v>
      </x:c>
      <x:c r="B88" s="367" t="n">
        <x:f>IF(A88="","",2/TAN(RADIANS(A88)))</x:f>
        <x:v>1.5726581796870929</x:v>
      </x:c>
      <x:c r="C88" s="369" t="n">
        <x:f>IF($A88="","",ABS(2/T88-'02_Constants'!$D$6)/'02_Constants'!$D$6)</x:f>
        <x:v>0.0011852923644119404</x:v>
      </x:c>
      <x:c r="D88" s="369" t="n">
        <x:f>IF($A88="","",ABS(2/(T88+2*V88)-'02_Constants'!$D$7)/'02_Constants'!$D$7)</x:f>
        <x:v>0.00017787735208273445</x:v>
      </x:c>
      <x:c r="E88" s="369" t="n">
        <x:f>IF($A88="","",ABS((T88+2*V88)/2-'02_Constants'!$D$8)/'02_Constants'!$D$8)</x:f>
        <x:v>0.000055308643274361336</x:v>
      </x:c>
      <x:c r="F88" s="369" t="n">
        <x:f>IF($A88="","",ABS((T88+2*V88)/V88-'02_Constants'!$D$9)/'02_Constants'!$D$9)</x:f>
        <x:v>0.000055308643274377504</x:v>
      </x:c>
      <x:c r="G88" s="369" t="n">
        <x:f>IF($A88="","",ABS(V88-'02_Constants'!$D$10)/'02_Constants'!$D$10)</x:f>
        <x:v>0</x:v>
      </x:c>
      <x:c r="H88" s="369" t="n">
        <x:f>IF($A88="","",ABS((W88+1)/W88-'02_Constants'!$D$11)/'02_Constants'!$D$11)</x:f>
        <x:v>0.00007721901363347522</x:v>
      </x:c>
      <x:c r="I88" s="369" t="n">
        <x:f>IF($A88="","",ABS((U88+2*V88)/(W88+1)-'02_Constants'!$D$12)/'02_Constants'!$D$12)</x:f>
        <x:v>0.0004009384173839196</x:v>
      </x:c>
      <x:c r="J88" s="369" t="n">
        <x:f>IF($A88="","",ABS(X88/U88-'02_Constants'!$D$13)/'02_Constants'!$D$13)</x:f>
        <x:v>0.00012606056513984697</x:v>
      </x:c>
      <x:c r="K88" s="369" t="n">
        <x:f>IF($A88="","",ABS(W88/(W88+U88)-'02_Constants'!$D$14)/'02_Constants'!$D$14)</x:f>
        <x:v>0.00005335417931174653</x:v>
      </x:c>
      <x:c r="L88" s="369" t="n">
        <x:f>IF($A88="","",ABS(W88/U88-'02_Constants'!$D$15)/'02_Constants'!$D$15)</x:f>
        <x:v>0.00013967099723952508</x:v>
      </x:c>
      <x:c r="M88" s="369" t="n">
        <x:f>IF($A88="","",ABS(2*A88/(90-A88)-'02_Constants'!$D$16)/'02_Constants'!$D$16)</x:f>
        <x:v>0.0013420717700576821</x:v>
      </x:c>
      <x:c r="N88" s="369" t="n">
        <x:f>IF($A88="","",ABS(2*A88/(90-A88)-1-'02_Constants'!$D$17)/'02_Constants'!$D$17)</x:f>
        <x:v>0.00212312627917814</x:v>
      </x:c>
      <x:c r="O88" s="369" t="n">
        <x:f>IF(A88="","",AVERAGE(C88:N88))</x:f>
        <x:v>0.0004780190187489791</x:v>
      </x:c>
      <x:c r="P88" s="369" t="n">
        <x:f>IF(A88="","",SUMPRODUCT(C88:N88,'03_12_Errors'!$P$4:$AA$4)/SUM('03_12_Errors'!$P$4:$AA$4))</x:f>
        <x:v>0.000605189441304282</x:v>
      </x:c>
      <x:c r="Q88" s="369" t="n">
        <x:f>IF(A88="","",SQRT(SUMSQ(C88:N88)/12))</x:f>
        <x:v>0.0008142715855027337</x:v>
      </x:c>
      <x:c r="R88" s="369" t="n">
        <x:f>IF(A88="","",MAX(C88:N88))</x:f>
        <x:v>0.00212312627917814</x:v>
      </x:c>
      <x:c r="S88" s="390" t="n">
        <x:f>IF(A88="","",COUNTIF(C88:N88,"&lt;="&amp;'00_Start'!$B$7))</x:f>
        <x:v>9</x:v>
      </x:c>
      <x:c r="T88" s="365" t="n">
        <x:f>IF(A88="","",0.5*TAN(RADIANS(A88)))</x:f>
        <x:v>0.6358660851520621</x:v>
      </x:c>
      <x:c r="U88" s="365" t="n">
        <x:f>IF(A88="","",0.5)</x:f>
        <x:v>0.5</x:v>
      </x:c>
      <x:c r="V88" s="365" t="n">
        <x:f>IF(A88="","",SQRT(2))</x:f>
        <x:v>1.4142135623730951</x:v>
      </x:c>
      <x:c r="W88" s="365" t="n">
        <x:f>IF(A88="","",SQRT(T88^2+U88^2))</x:f>
        <x:v>0.8089039981645594</x:v>
      </x:c>
      <x:c r="X88" s="365" t="n">
        <x:f>IF(A88="","",SQRT(T88^2+2*U88^2))</x:f>
        <x:v>0.9509603978329536</x:v>
      </x:c>
      <x:c r="Y88" s="127"/>
      <x:c r="Z88" s="127"/>
      <x:c r="AA88" s="127"/>
      <x:c r="AB88" s="127"/>
      <x:c r="AC88" s="127"/>
      <x:c r="AD88" s="127"/>
      <x:c r="AE88" s="127"/>
      <x:c r="AF88" s="127"/>
      <x:c r="AG88" s="127"/>
      <x:c r="AH88" s="127"/>
      <x:c r="AI88" s="127"/>
      <x:c r="AJ88" s="127"/>
      <x:c r="AK88" s="127"/>
      <x:c r="AL88" s="127"/>
    </x:row>
    <x:row r="89">
      <x:c r="A89" s="367" t="n">
        <x:f>IF(A88="","",IF(A88+'00_Start'!$B$12&lt;='00_Start'!$B$11,A88+'00_Start'!$B$12,""))</x:f>
        <x:v>51.8215000000002</x:v>
      </x:c>
      <x:c r="B89" s="367" t="n">
        <x:f>IF(A89="","",2/TAN(RADIANS(A89)))</x:f>
        <x:v>1.5726299349830932</x:v>
      </x:c>
      <x:c r="C89" s="369" t="n">
        <x:f>IF($A89="","",ABS(2/T89-'02_Constants'!$D$6)/'02_Constants'!$D$6)</x:f>
        <x:v>0.0011673112273810954</x:v>
      </x:c>
      <x:c r="D89" s="369" t="n">
        <x:f>IF($A89="","",ABS(2/(T89+2*V89)-'02_Constants'!$D$7)/'02_Constants'!$D$7)</x:f>
        <x:v>0.0001745802125890121</x:v>
      </x:c>
      <x:c r="E89" s="369" t="n">
        <x:f>IF($A89="","",ABS((T89+2*V89)/2-'02_Constants'!$D$8)/'02_Constants'!$D$8)</x:f>
        <x:v>0.00005860538958173833</x:v>
      </x:c>
      <x:c r="F89" s="369" t="n">
        <x:f>IF($A89="","",ABS((T89+2*V89)/V89-'02_Constants'!$D$9)/'02_Constants'!$D$9)</x:f>
        <x:v>0.00005860538958161018</x:v>
      </x:c>
      <x:c r="G89" s="369" t="n">
        <x:f>IF($A89="","",ABS(V89-'02_Constants'!$D$10)/'02_Constants'!$D$10)</x:f>
        <x:v>0</x:v>
      </x:c>
      <x:c r="H89" s="369" t="n">
        <x:f>IF($A89="","",ABS((W89+1)/W89-'02_Constants'!$D$11)/'02_Constants'!$D$11)</x:f>
        <x:v>0.00007108333597874317</x:v>
      </x:c>
      <x:c r="I89" s="369" t="n">
        <x:f>IF($A89="","",ABS((U89+2*V89)/(W89+1)-'02_Constants'!$D$12)/'02_Constants'!$D$12)</x:f>
        <x:v>0.0003959736061856021</x:v>
      </x:c>
      <x:c r="J89" s="369" t="n">
        <x:f>IF($A89="","",ABS(X89/U89-'02_Constants'!$D$13)/'02_Constants'!$D$13)</x:f>
        <x:v>0.00011803151156230269</x:v>
      </x:c>
      <x:c r="K89" s="369" t="n">
        <x:f>IF($A89="","",ABS(W89/(W89+U89)-'02_Constants'!$D$14)/'02_Constants'!$D$14)</x:f>
        <x:v>0.000049114964746377286</x:v>
      </x:c>
      <x:c r="L89" s="369" t="n">
        <x:f>IF($A89="","",ABS(W89/U89-'02_Constants'!$D$15)/'02_Constants'!$D$15)</x:f>
        <x:v>0.00012857442929301355</x:v>
      </x:c>
      <x:c r="M89" s="369" t="n">
        <x:f>IF($A89="","",ABS(2*A89/(90-A89)-'02_Constants'!$D$16)/'02_Constants'!$D$16)</x:f>
        <x:v>0.00131935719496194</x:v>
      </x:c>
      <x:c r="N89" s="369" t="n">
        <x:f>IF($A89="","",ABS(2*A89/(90-A89)-1-'02_Constants'!$D$17)/'02_Constants'!$D$17)</x:f>
        <x:v>0.0020871923504702417</x:v>
      </x:c>
      <x:c r="O89" s="369" t="n">
        <x:f>IF(A89="","",AVERAGE(C89:N89))</x:f>
        <x:v>0.0004690358010276397</x:v>
      </x:c>
      <x:c r="P89" s="369" t="n">
        <x:f>IF(A89="","",SUMPRODUCT(C89:N89,'03_12_Errors'!$P$4:$AA$4)/SUM('03_12_Errors'!$P$4:$AA$4))</x:f>
        <x:v>0.0005941298375169872</x:v>
      </x:c>
      <x:c r="Q89" s="369" t="n">
        <x:f>IF(A89="","",SQRT(SUMSQ(C89:N89)/12))</x:f>
        <x:v>0.00080061233284979</x:v>
      </x:c>
      <x:c r="R89" s="369" t="n">
        <x:f>IF(A89="","",MAX(C89:N89))</x:f>
        <x:v>0.0020871923504702417</x:v>
      </x:c>
      <x:c r="S89" s="390" t="n">
        <x:f>IF(A89="","",COUNTIF(C89:N89,"&lt;="&amp;'00_Start'!$B$7))</x:f>
        <x:v>9</x:v>
      </x:c>
      <x:c r="T89" s="365" t="n">
        <x:f>IF(A89="","",0.5*TAN(RADIANS(A89)))</x:f>
        <x:v>0.6358775054162699</x:v>
      </x:c>
      <x:c r="U89" s="365" t="n">
        <x:f>IF(A89="","",0.5)</x:f>
        <x:v>0.5</x:v>
      </x:c>
      <x:c r="V89" s="365" t="n">
        <x:f>IF(A89="","",SQRT(2))</x:f>
        <x:v>1.4142135623730951</x:v>
      </x:c>
      <x:c r="W89" s="365" t="n">
        <x:f>IF(A89="","",SQRT(T89^2+U89^2))</x:f>
        <x:v>0.8089129754766073</x:v>
      </x:c>
      <x:c r="X89" s="365" t="n">
        <x:f>IF(A89="","",SQRT(T89^2+2*U89^2))</x:f>
        <x:v>0.950968034107571</x:v>
      </x:c>
      <x:c r="Y89" s="127"/>
      <x:c r="Z89" s="127"/>
      <x:c r="AA89" s="127"/>
      <x:c r="AB89" s="127"/>
      <x:c r="AC89" s="127"/>
      <x:c r="AD89" s="127"/>
      <x:c r="AE89" s="127"/>
      <x:c r="AF89" s="127"/>
      <x:c r="AG89" s="127"/>
      <x:c r="AH89" s="127"/>
      <x:c r="AI89" s="127"/>
      <x:c r="AJ89" s="127"/>
      <x:c r="AK89" s="127"/>
      <x:c r="AL89" s="127"/>
    </x:row>
    <x:row r="90">
      <x:c r="A90" s="367" t="n">
        <x:f>IF(A89="","",IF(A89+'00_Start'!$B$12&lt;='00_Start'!$B$11,A89+'00_Start'!$B$12,""))</x:f>
        <x:v>51.8220000000002</x:v>
      </x:c>
      <x:c r="B90" s="367" t="n">
        <x:f>IF(A90="","",2/TAN(RADIANS(A90)))</x:f>
        <x:v>1.5726016906667153</x:v>
      </x:c>
      <x:c r="C90" s="369" t="n">
        <x:f>IF($A90="","",ABS(2/T90-'02_Constants'!$D$6)/'02_Constants'!$D$6)</x:f>
        <x:v>0.0011493303371178968</x:v>
      </x:c>
      <x:c r="D90" s="369" t="n">
        <x:f>IF($A90="","",ABS(2/(T90+2*V90)-'02_Constants'!$D$7)/'02_Constants'!$D$7)</x:f>
        <x:v>0.00017128302164923565</x:v>
      </x:c>
      <x:c r="E90" s="369" t="n">
        <x:f>IF($A90="","",ABS((T90+2*V90)/2-'02_Constants'!$D$8)/'02_Constants'!$D$8)</x:f>
        <x:v>0.0000619022090654092</x:v>
      </x:c>
      <x:c r="F90" s="369" t="n">
        <x:f>IF($A90="","",ABS((T90+2*V90)/V90-'02_Constants'!$D$9)/'02_Constants'!$D$9)</x:f>
        <x:v>0.0000619022090653335</x:v>
      </x:c>
      <x:c r="G90" s="369" t="n">
        <x:f>IF($A90="","",ABS(V90-'02_Constants'!$D$10)/'02_Constants'!$D$10)</x:f>
        <x:v>0</x:v>
      </x:c>
      <x:c r="H90" s="369" t="n">
        <x:f>IF($A90="","",ABS((W90+1)/W90-'02_Constants'!$D$11)/'02_Constants'!$D$11)</x:f>
        <x:v>0.00006494761622162211</x:v>
      </x:c>
      <x:c r="I90" s="369" t="n">
        <x:f>IF($A90="","",ABS((U90+2*V90)/(W90+1)-'02_Constants'!$D$12)/'02_Constants'!$D$12)</x:f>
        <x:v>0.0003910086999977945</x:v>
      </x:c>
      <x:c r="J90" s="369" t="n">
        <x:f>IF($A90="","",ABS(X90/U90-'02_Constants'!$D$13)/'02_Constants'!$D$13)</x:f>
        <x:v>0.00011000220003751941</x:v>
      </x:c>
      <x:c r="K90" s="369" t="n">
        <x:f>IF($A90="","",ABS(W90/(W90+U90)-'02_Constants'!$D$14)/'02_Constants'!$D$14)</x:f>
        <x:v>0.00004487568514761216</x:v>
      </x:c>
      <x:c r="L90" s="369" t="n">
        <x:f>IF($A90="","",ABS(W90/U90-'02_Constants'!$D$15)/'02_Constants'!$D$15)</x:f>
        <x:v>0.00011747753889551674</x:v>
      </x:c>
      <x:c r="M90" s="369" t="n">
        <x:f>IF($A90="","",ABS(2*A90/(90-A90)-'02_Constants'!$D$16)/'02_Constants'!$D$16)</x:f>
        <x:v>0.001296642024901286</x:v>
      </x:c>
      <x:c r="N90" s="369" t="n">
        <x:f>IF($A90="","",ABS(2*A90/(90-A90)-1-'02_Constants'!$D$17)/'02_Constants'!$D$17)</x:f>
        <x:v>0.002051257480541712</x:v>
      </x:c>
      <x:c r="O90" s="369" t="n">
        <x:f>IF(A90="","",AVERAGE(C90:N90))</x:f>
        <x:v>0.00046005241855341146</x:v>
      </x:c>
      <x:c r="P90" s="369" t="n">
        <x:f>IF(A90="","",SUMPRODUCT(C90:N90,'03_12_Errors'!$P$4:$AA$4)/SUM('03_12_Errors'!$P$4:$AA$4))</x:f>
        <x:v>0.0005830700694260478</x:v>
      </x:c>
      <x:c r="Q90" s="369" t="n">
        <x:f>IF(A90="","",SQRT(SUMSQ(C90:N90)/12))</x:f>
        <x:v>0.0007869731537204198</x:v>
      </x:c>
      <x:c r="R90" s="369" t="n">
        <x:f>IF(A90="","",MAX(C90:N90))</x:f>
        <x:v>0.002051257480541712</x:v>
      </x:c>
      <x:c r="S90" s="390" t="n">
        <x:f>IF(A90="","",COUNTIF(C90:N90,"&lt;="&amp;'00_Start'!$B$7))</x:f>
        <x:v>9</x:v>
      </x:c>
      <x:c r="T90" s="365" t="n">
        <x:f>IF(A90="","",0.5*TAN(RADIANS(A90)))</x:f>
        <x:v>0.6358889259339682</x:v>
      </x:c>
      <x:c r="U90" s="365" t="n">
        <x:f>IF(A90="","",0.5)</x:f>
        <x:v>0.5</x:v>
      </x:c>
      <x:c r="V90" s="365" t="n">
        <x:f>IF(A90="","",SQRT(2))</x:f>
        <x:v>1.4142135623730951</x:v>
      </x:c>
      <x:c r="W90" s="365" t="n">
        <x:f>IF(A90="","",SQRT(T90^2+U90^2))</x:f>
        <x:v>0.8089219530495236</x:v>
      </x:c>
      <x:c r="X90" s="365" t="n">
        <x:f>IF(A90="","",SQRT(T90^2+2*U90^2))</x:f>
        <x:v>0.950975670627517</x:v>
      </x:c>
      <x:c r="Y90" s="127"/>
      <x:c r="Z90" s="127"/>
      <x:c r="AA90" s="127"/>
      <x:c r="AB90" s="127"/>
      <x:c r="AC90" s="127"/>
      <x:c r="AD90" s="127"/>
      <x:c r="AE90" s="127"/>
      <x:c r="AF90" s="127"/>
      <x:c r="AG90" s="127"/>
      <x:c r="AH90" s="127"/>
      <x:c r="AI90" s="127"/>
      <x:c r="AJ90" s="127"/>
      <x:c r="AK90" s="127"/>
      <x:c r="AL90" s="127"/>
    </x:row>
    <x:row r="91">
      <x:c r="A91" s="367" t="n">
        <x:f>IF(A90="","",IF(A90+'00_Start'!$B$12&lt;='00_Start'!$B$11,A90+'00_Start'!$B$12,""))</x:f>
        <x:v>51.822500000000204</x:v>
      </x:c>
      <x:c r="B91" s="367" t="n">
        <x:f>IF(A91="","",2/TAN(RADIANS(A91)))</x:f>
        <x:v>1.5725734467379469</x:v>
      </x:c>
      <x:c r="C91" s="369" t="n">
        <x:f>IF($A91="","",ABS(2/T91-'02_Constants'!$D$6)/'02_Constants'!$D$6)</x:f>
        <x:v>0.00113134969361457</x:v>
      </x:c>
      <x:c r="D91" s="369" t="n">
        <x:f>IF($A91="","",ABS(2/(T91+2*V91)-'02_Constants'!$D$7)/'02_Constants'!$D$7)</x:f>
        <x:v>0.00016798577926167407</x:v>
      </x:c>
      <x:c r="E91" s="369" t="n">
        <x:f>IF($A91="","",ABS((T91+2*V91)/2-'02_Constants'!$D$8)/'02_Constants'!$D$8)</x:f>
        <x:v>0.00006519910172845067</x:v>
      </x:c>
      <x:c r="F91" s="369" t="n">
        <x:f>IF($A91="","",ABS((T91+2*V91)/V91-'02_Constants'!$D$9)/'02_Constants'!$D$9)</x:f>
        <x:v>0.00006519910172844824</x:v>
      </x:c>
      <x:c r="G91" s="369" t="n">
        <x:f>IF($A91="","",ABS(V91-'02_Constants'!$D$10)/'02_Constants'!$D$10)</x:f>
        <x:v>0</x:v>
      </x:c>
      <x:c r="H91" s="369" t="n">
        <x:f>IF($A91="","",ABS((W91+1)/W91-'02_Constants'!$D$11)/'02_Constants'!$D$11)</x:f>
        <x:v>0.000058811854362509237</x:v>
      </x:c>
      <x:c r="I91" s="369" t="n">
        <x:f>IF($A91="","",ABS((U91+2*V91)/(W91+1)-'02_Constants'!$D$12)/'02_Constants'!$D$12)</x:f>
        <x:v>0.00038604369881808253</x:v>
      </x:c>
      <x:c r="J91" s="369" t="n">
        <x:f>IF($A91="","",ABS(X91/U91-'02_Constants'!$D$13)/'02_Constants'!$D$13)</x:f>
        <x:v>0.00010197263055487445</x:v>
      </x:c>
      <x:c r="K91" s="369" t="n">
        <x:f>IF($A91="","",ABS(W91/(W91+U91)-'02_Constants'!$D$14)/'02_Constants'!$D$14)</x:f>
        <x:v>0.00004063634051455299</x:v>
      </x:c>
      <x:c r="L91" s="369" t="n">
        <x:f>IF($A91="","",ABS(W91/U91-'02_Constants'!$D$15)/'02_Constants'!$D$15)</x:f>
        <x:v>0.00010638032603482108</x:v>
      </x:c>
      <x:c r="M91" s="369" t="n">
        <x:f>IF($A91="","",ABS(2*A91/(90-A91)-'02_Constants'!$D$16)/'02_Constants'!$D$16)</x:f>
        <x:v>0.001273926259852195</x:v>
      </x:c>
      <x:c r="N91" s="369" t="n">
        <x:f>IF($A91="","",ABS(2*A91/(90-A91)-1-'02_Constants'!$D$17)/'02_Constants'!$D$17)</x:f>
        <x:v>0.0020153216693553334</x:v>
      </x:c>
      <x:c r="O91" s="369" t="n">
        <x:f>IF(A91="","",AVERAGE(C91:N91))</x:f>
        <x:v>0.00045106887131879267</x:v>
      </x:c>
      <x:c r="P91" s="369" t="n">
        <x:f>IF(A91="","",SUMPRODUCT(C91:N91,'03_12_Errors'!$P$4:$AA$4)/SUM('03_12_Errors'!$P$4:$AA$4))</x:f>
        <x:v>0.0005720101370224629</x:v>
      </x:c>
      <x:c r="Q91" s="369" t="n">
        <x:f>IF(A91="","",SQRT(SUMSQ(C91:N91)/12))</x:f>
        <x:v>0.0007733551264055629</x:v>
      </x:c>
      <x:c r="R91" s="369" t="n">
        <x:f>IF(A91="","",MAX(C91:N91))</x:f>
        <x:v>0.0020153216693553334</x:v>
      </x:c>
      <x:c r="S91" s="390" t="n">
        <x:f>IF(A91="","",COUNTIF(C91:N91,"&lt;="&amp;'00_Start'!$B$7))</x:f>
        <x:v>9</x:v>
      </x:c>
      <x:c r="T91" s="365" t="n">
        <x:f>IF(A91="","",0.5*TAN(RADIANS(A91)))</x:f>
        <x:v>0.635900346705167</x:v>
      </x:c>
      <x:c r="U91" s="365" t="n">
        <x:f>IF(A91="","",0.5)</x:f>
        <x:v>0.5</x:v>
      </x:c>
      <x:c r="V91" s="365" t="n">
        <x:f>IF(A91="","",SQRT(2))</x:f>
        <x:v>1.4142135623730951</x:v>
      </x:c>
      <x:c r="W91" s="365" t="n">
        <x:f>IF(A91="","",SQRT(T91^2+U91^2))</x:f>
        <x:v>0.8089309308833181</x:v>
      </x:c>
      <x:c r="X91" s="365" t="n">
        <x:f>IF(A91="","",SQRT(T91^2+2*U91^2))</x:f>
        <x:v>0.9509833073928016</x:v>
      </x:c>
      <x:c r="Y91" s="127"/>
      <x:c r="Z91" s="127"/>
      <x:c r="AA91" s="127"/>
      <x:c r="AB91" s="127"/>
      <x:c r="AC91" s="127"/>
      <x:c r="AD91" s="127"/>
      <x:c r="AE91" s="127"/>
      <x:c r="AF91" s="127"/>
      <x:c r="AG91" s="127"/>
      <x:c r="AH91" s="127"/>
      <x:c r="AI91" s="127"/>
      <x:c r="AJ91" s="127"/>
      <x:c r="AK91" s="127"/>
      <x:c r="AL91" s="127"/>
    </x:row>
    <x:row r="92">
      <x:c r="A92" s="367" t="n">
        <x:f>IF(A91="","",IF(A91+'00_Start'!$B$12&lt;='00_Start'!$B$11,A91+'00_Start'!$B$12,""))</x:f>
        <x:v>51.82300000000021</x:v>
      </x:c>
      <x:c r="B92" s="367" t="n">
        <x:f>IF(A92="","",2/TAN(RADIANS(A92)))</x:f>
        <x:v>1.5725452031967753</x:v>
      </x:c>
      <x:c r="C92" s="369" t="n">
        <x:f>IF($A92="","",ABS(2/T92-'02_Constants'!$D$6)/'02_Constants'!$D$6)</x:f>
        <x:v>0.0011133692968630575</x:v>
      </x:c>
      <x:c r="D92" s="369" t="n">
        <x:f>IF($A92="","",ABS(2/(T92+2*V92)-'02_Constants'!$D$7)/'02_Constants'!$D$7)</x:f>
        <x:v>0.0001646884854245963</x:v>
      </x:c>
      <x:c r="E92" s="369" t="n">
        <x:f>IF($A92="","",ABS((T92+2*V92)/2-'02_Constants'!$D$8)/'02_Constants'!$D$8)</x:f>
        <x:v>0.00006849606757381128</x:v>
      </x:c>
      <x:c r="F92" s="369" t="n">
        <x:f>IF($A92="","",ABS((T92+2*V92)/V92-'02_Constants'!$D$9)/'02_Constants'!$D$9)</x:f>
        <x:v>0.00006849606757385516</x:v>
      </x:c>
      <x:c r="G92" s="369" t="n">
        <x:f>IF($A92="","",ABS(V92-'02_Constants'!$D$10)/'02_Constants'!$D$10)</x:f>
        <x:v>0</x:v>
      </x:c>
      <x:c r="H92" s="369" t="n">
        <x:f>IF($A92="","",ABS((W92+1)/W92-'02_Constants'!$D$11)/'02_Constants'!$D$11)</x:f>
        <x:v>0.000052676050401801746</x:v>
      </x:c>
      <x:c r="I92" s="369" t="n">
        <x:f>IF($A92="","",ABS((U92+2*V92)/(W92+1)-'02_Constants'!$D$12)/'02_Constants'!$D$12)</x:f>
        <x:v>0.0003810786026446553</x:v>
      </x:c>
      <x:c r="J92" s="369" t="n">
        <x:f>IF($A92="","",ABS(X92/U92-'02_Constants'!$D$13)/'02_Constants'!$D$13)</x:f>
        <x:v>0.00009394280310374513</x:v>
      </x:c>
      <x:c r="K92" s="369" t="n">
        <x:f>IF($A92="","",ABS(W92/(W92+U92)-'02_Constants'!$D$14)/'02_Constants'!$D$14)</x:f>
        <x:v>0.00003639693084648121</x:v>
      </x:c>
      <x:c r="L92" s="369" t="n">
        <x:f>IF($A92="","",ABS(W92/U92-'02_Constants'!$D$15)/'02_Constants'!$D$15)</x:f>
        <x:v>0.00009528279069802686</x:v>
      </x:c>
      <x:c r="M92" s="369" t="n">
        <x:f>IF($A92="","",ABS(2*A92/(90-A92)-'02_Constants'!$D$16)/'02_Constants'!$D$16)</x:f>
        <x:v>0.0012512098997911412</x:v>
      </x:c>
      <x:c r="N92" s="369" t="n">
        <x:f>IF($A92="","",ABS(2*A92/(90-A92)-1-'02_Constants'!$D$17)/'02_Constants'!$D$17)</x:f>
        <x:v>0.0019793849168738896</x:v>
      </x:c>
      <x:c r="O92" s="369" t="n">
        <x:f>IF(A92="","",AVERAGE(C92:N92))</x:f>
        <x:v>0.0004420851593162551</x:v>
      </x:c>
      <x:c r="P92" s="369" t="n">
        <x:f>IF(A92="","",SUMPRODUCT(C92:N92,'03_12_Errors'!$P$4:$AA$4)/SUM('03_12_Errors'!$P$4:$AA$4))</x:f>
        <x:v>0.0005609500402972495</x:v>
      </x:c>
      <x:c r="Q92" s="369" t="n">
        <x:f>IF(A92="","",SQRT(SUMSQ(C92:N92)/12))</x:f>
        <x:v>0.0007597594047992502</x:v>
      </x:c>
      <x:c r="R92" s="369" t="n">
        <x:f>IF(A92="","",MAX(C92:N92))</x:f>
        <x:v>0.0019793849168738896</x:v>
      </x:c>
      <x:c r="S92" s="390" t="n">
        <x:f>IF(A92="","",COUNTIF(C92:N92,"&lt;="&amp;'00_Start'!$B$7))</x:f>
        <x:v>9</x:v>
      </x:c>
      <x:c r="T92" s="365" t="n">
        <x:f>IF(A92="","",0.5*TAN(RADIANS(A92)))</x:f>
        <x:v>0.635911767729877</x:v>
      </x:c>
      <x:c r="U92" s="365" t="n">
        <x:f>IF(A92="","",0.5)</x:f>
        <x:v>0.5</x:v>
      </x:c>
      <x:c r="V92" s="365" t="n">
        <x:f>IF(A92="","",SQRT(2))</x:f>
        <x:v>1.4142135623730951</x:v>
      </x:c>
      <x:c r="W92" s="365" t="n">
        <x:f>IF(A92="","",SQRT(T92^2+U92^2))</x:f>
        <x:v>0.8089399089780013</x:v>
      </x:c>
      <x:c r="X92" s="365" t="n">
        <x:f>IF(A92="","",SQRT(T92^2+2*U92^2))</x:f>
        <x:v>0.9509909444034349</x:v>
      </x:c>
      <x:c r="Y92" s="127"/>
      <x:c r="Z92" s="127"/>
      <x:c r="AA92" s="127"/>
      <x:c r="AB92" s="127"/>
      <x:c r="AC92" s="127"/>
      <x:c r="AD92" s="127"/>
      <x:c r="AE92" s="127"/>
      <x:c r="AF92" s="127"/>
      <x:c r="AG92" s="127"/>
      <x:c r="AH92" s="127"/>
      <x:c r="AI92" s="127"/>
      <x:c r="AJ92" s="127"/>
      <x:c r="AK92" s="127"/>
      <x:c r="AL92" s="127"/>
    </x:row>
    <x:row r="93">
      <x:c r="A93" s="367" t="n">
        <x:f>IF(A92="","",IF(A92+'00_Start'!$B$12&lt;='00_Start'!$B$11,A92+'00_Start'!$B$12,""))</x:f>
        <x:v>51.82350000000021</x:v>
      </x:c>
      <x:c r="B93" s="367" t="n">
        <x:f>IF(A93="","",2/TAN(RADIANS(A93)))</x:f>
        <x:v>1.5725169600431887</x:v>
      </x:c>
      <x:c r="C93" s="369" t="n">
        <x:f>IF($A93="","",ABS(2/T93-'02_Constants'!$D$6)/'02_Constants'!$D$6)</x:f>
        <x:v>0.001095389146855867</x:v>
      </x:c>
      <x:c r="D93" s="369" t="n">
        <x:f>IF($A93="","",ABS(2/(T93+2*V93)-'02_Constants'!$D$7)/'02_Constants'!$D$7)</x:f>
        <x:v>0.00016139114013646356</x:v>
      </x:c>
      <x:c r="E93" s="369" t="n">
        <x:f>IF($A93="","",ABS((T93+2*V93)/2-'02_Constants'!$D$8)/'02_Constants'!$D$8)</x:f>
        <x:v>0.0000717931066043114</x:v>
      </x:c>
      <x:c r="F93" s="369" t="n">
        <x:f>IF($A93="","",ABS((T93+2*V93)/V93-'02_Constants'!$D$9)/'02_Constants'!$D$9)</x:f>
        <x:v>0.00007179310660427378</x:v>
      </x:c>
      <x:c r="G93" s="369" t="n">
        <x:f>IF($A93="","",ABS(V93-'02_Constants'!$D$10)/'02_Constants'!$D$10)</x:f>
        <x:v>0</x:v>
      </x:c>
      <x:c r="H93" s="369" t="n">
        <x:f>IF($A93="","",ABS((W93+1)/W93-'02_Constants'!$D$11)/'02_Constants'!$D$11)</x:f>
        <x:v>0.00004654020433989686</x:v>
      </x:c>
      <x:c r="I93" s="369" t="n">
        <x:f>IF($A93="","",ABS((U93+2*V93)/(W93+1)-'02_Constants'!$D$12)/'02_Constants'!$D$12)</x:f>
        <x:v>0.0003761134114754604</x:v>
      </x:c>
      <x:c r="J93" s="369" t="n">
        <x:f>IF($A93="","",ABS(X93/U93-'02_Constants'!$D$13)/'02_Constants'!$D$13)</x:f>
        <x:v>0.00008591271767362548</x:v>
      </x:c>
      <x:c r="K93" s="369" t="n">
        <x:f>IF($A93="","",ABS(W93/(W93+U93)-'02_Constants'!$D$14)/'02_Constants'!$D$14)</x:f>
        <x:v>0.00003215745614213936</x:v>
      </x:c>
      <x:c r="L93" s="369" t="n">
        <x:f>IF($A93="","",ABS(W93/U93-'02_Constants'!$D$15)/'02_Constants'!$D$15)</x:f>
        <x:v>0.00008418493287292049</x:v>
      </x:c>
      <x:c r="M93" s="369" t="n">
        <x:f>IF($A93="","",ABS(2*A93/(90-A93)-'02_Constants'!$D$16)/'02_Constants'!$D$16)</x:f>
        <x:v>0.0012284929446950896</x:v>
      </x:c>
      <x:c r="N93" s="369" t="n">
        <x:f>IF($A93="","",ABS(2*A93/(90-A93)-1-'02_Constants'!$D$17)/'02_Constants'!$D$17)</x:f>
        <x:v>0.0019434472230609394</x:v>
      </x:c>
      <x:c r="O93" s="369" t="n">
        <x:f>IF(A93="","",AVERAGE(C93:N93))</x:f>
        <x:v>0.0004331012825384156</x:v>
      </x:c>
      <x:c r="P93" s="369" t="n">
        <x:f>IF(A93="","",SUMPRODUCT(C93:N93,'03_12_Errors'!$P$4:$AA$4)/SUM('03_12_Errors'!$P$4:$AA$4))</x:f>
        <x:v>0.000549889779241606</x:v>
      </x:c>
      <x:c r="Q93" s="369" t="n">
        <x:f>IF(A93="","",SQRT(SUMSQ(C93:N93)/12))</x:f>
        <x:v>0.0007461872249611677</x:v>
      </x:c>
      <x:c r="R93" s="369" t="n">
        <x:f>IF(A93="","",MAX(C93:N93))</x:f>
        <x:v>0.0019434472230609394</x:v>
      </x:c>
      <x:c r="S93" s="390" t="n">
        <x:f>IF(A93="","",COUNTIF(C93:N93,"&lt;="&amp;'00_Start'!$B$7))</x:f>
        <x:v>9</x:v>
      </x:c>
      <x:c r="T93" s="365" t="n">
        <x:f>IF(A93="","",0.5*TAN(RADIANS(A93)))</x:f>
        <x:v>0.635923189008108</x:v>
      </x:c>
      <x:c r="U93" s="365" t="n">
        <x:f>IF(A93="","",0.5)</x:f>
        <x:v>0.5</x:v>
      </x:c>
      <x:c r="V93" s="365" t="n">
        <x:f>IF(A93="","",SQRT(2))</x:f>
        <x:v>1.4142135623730951</x:v>
      </x:c>
      <x:c r="W93" s="365" t="n">
        <x:f>IF(A93="","",SQRT(T93^2+U93^2))</x:f>
        <x:v>0.8089488873335829</x:v>
      </x:c>
      <x:c r="X93" s="365" t="n">
        <x:f>IF(A93="","",SQRT(T93^2+2*U93^2))</x:f>
        <x:v>0.950998581659427</x:v>
      </x:c>
      <x:c r="Y93" s="127"/>
      <x:c r="Z93" s="127"/>
      <x:c r="AA93" s="127"/>
      <x:c r="AB93" s="127"/>
      <x:c r="AC93" s="127"/>
      <x:c r="AD93" s="127"/>
      <x:c r="AE93" s="127"/>
      <x:c r="AF93" s="127"/>
      <x:c r="AG93" s="127"/>
      <x:c r="AH93" s="127"/>
      <x:c r="AI93" s="127"/>
      <x:c r="AJ93" s="127"/>
      <x:c r="AK93" s="127"/>
      <x:c r="AL93" s="127"/>
    </x:row>
    <x:row r="94">
      <x:c r="A94" s="367" t="n">
        <x:f>IF(A93="","",IF(A93+'00_Start'!$B$12&lt;='00_Start'!$B$11,A93+'00_Start'!$B$12,""))</x:f>
        <x:v>51.82400000000021</x:v>
      </x:c>
      <x:c r="B94" s="367" t="n">
        <x:f>IF(A94="","",2/TAN(RADIANS(A94)))</x:f>
        <x:v>1.5724887172771742</x:v>
      </x:c>
      <x:c r="C94" s="369" t="n">
        <x:f>IF($A94="","",ABS(2/T94-'02_Constants'!$D$6)/'02_Constants'!$D$6)</x:f>
        <x:v>0.001077409243584659</x:v>
      </x:c>
      <x:c r="D94" s="369" t="n">
        <x:f>IF($A94="","",ABS(2/(T94+2*V94)-'02_Constants'!$D$7)/'02_Constants'!$D$7)</x:f>
        <x:v>0.00015809374339516015</x:v>
      </x:c>
      <x:c r="E94" s="369" t="n">
        <x:f>IF($A94="","",ABS((T94+2*V94)/2-'02_Constants'!$D$8)/'02_Constants'!$D$8)</x:f>
        <x:v>0.00007509021882315597</x:v>
      </x:c>
      <x:c r="F94" s="369" t="n">
        <x:f>IF($A94="","",ABS((T94+2*V94)/V94-'02_Constants'!$D$9)/'02_Constants'!$D$9)</x:f>
        <x:v>0.00007509021882314874</x:v>
      </x:c>
      <x:c r="G94" s="369" t="n">
        <x:f>IF($A94="","",ABS(V94-'02_Constants'!$D$10)/'02_Constants'!$D$10)</x:f>
        <x:v>0</x:v>
      </x:c>
      <x:c r="H94" s="369" t="n">
        <x:f>IF($A94="","",ABS((W94+1)/W94-'02_Constants'!$D$11)/'02_Constants'!$D$11)</x:f>
        <x:v>0.000040404316177390376</x:v>
      </x:c>
      <x:c r="I94" s="369" t="n">
        <x:f>IF($A94="","",ABS((U94+2*V94)/(W94+1)-'02_Constants'!$D$12)/'02_Constants'!$D$12)</x:f>
        <x:v>0.0003711481253085664</x:v>
      </x:c>
      <x:c r="J94" s="369" t="n">
        <x:f>IF($A94="","",ABS(X94/U94-'02_Constants'!$D$13)/'02_Constants'!$D$13)</x:f>
        <x:v>0.00007788237425377609</x:v>
      </x:c>
      <x:c r="K94" s="369" t="n">
        <x:f>IF($A94="","",ABS(W94/(W94+U94)-'02_Constants'!$D$14)/'02_Constants'!$D$14)</x:f>
        <x:v>0.00002791791640080888</x:v>
      </x:c>
      <x:c r="L94" s="369" t="n">
        <x:f>IF($A94="","",ABS(W94/U94-'02_Constants'!$D$15)/'02_Constants'!$D$15)</x:f>
        <x:v>0.00007308675254701396</x:v>
      </x:c>
      <x:c r="M94" s="369" t="n">
        <x:f>IF($A94="","",ABS(2*A94/(90-A94)-'02_Constants'!$D$16)/'02_Constants'!$D$16)</x:f>
        <x:v>0.0012057753945405143</x:v>
      </x:c>
      <x:c r="N94" s="369" t="n">
        <x:f>IF($A94="","",ABS(2*A94/(90-A94)-1-'02_Constants'!$D$17)/'02_Constants'!$D$17)</x:f>
        <x:v>0.0019075085878792657</x:v>
      </x:c>
      <x:c r="O94" s="369" t="n">
        <x:f>IF(A94="","",AVERAGE(C94:N94))</x:f>
        <x:v>0.00042411724097778824</x:v>
      </x:c>
      <x:c r="P94" s="369" t="n">
        <x:f>IF(A94="","",SUMPRODUCT(C94:N94,'03_12_Errors'!$P$4:$AA$4)/SUM('03_12_Errors'!$P$4:$AA$4))</x:f>
        <x:v>0.0005388293538465197</x:v>
      </x:c>
      <x:c r="Q94" s="369" t="n">
        <x:f>IF(A94="","",SQRT(SUMSQ(C94:N94)/12))</x:f>
        <x:v>0.0007326399123523509</x:v>
      </x:c>
      <x:c r="R94" s="369" t="n">
        <x:f>IF(A94="","",MAX(C94:N94))</x:f>
        <x:v>0.0019075085878792657</x:v>
      </x:c>
      <x:c r="S94" s="390" t="n">
        <x:f>IF(A94="","",COUNTIF(C94:N94,"&lt;="&amp;'00_Start'!$B$7))</x:f>
        <x:v>9</x:v>
      </x:c>
      <x:c r="T94" s="365" t="n">
        <x:f>IF(A94="","",0.5*TAN(RADIANS(A94)))</x:f>
        <x:v>0.6359346105398703</x:v>
      </x:c>
      <x:c r="U94" s="365" t="n">
        <x:f>IF(A94="","",0.5)</x:f>
        <x:v>0.5</x:v>
      </x:c>
      <x:c r="V94" s="365" t="n">
        <x:f>IF(A94="","",SQRT(2))</x:f>
        <x:v>1.4142135623730951</x:v>
      </x:c>
      <x:c r="W94" s="365" t="n">
        <x:f>IF(A94="","",SQRT(T94^2+U94^2))</x:f>
        <x:v>0.8089578659500732</x:v>
      </x:c>
      <x:c r="X94" s="365" t="n">
        <x:f>IF(A94="","",SQRT(T94^2+2*U94^2))</x:f>
        <x:v>0.951006219160788</x:v>
      </x:c>
      <x:c r="Y94" s="127"/>
      <x:c r="Z94" s="127"/>
      <x:c r="AA94" s="127"/>
      <x:c r="AB94" s="127"/>
      <x:c r="AC94" s="127"/>
      <x:c r="AD94" s="127"/>
      <x:c r="AE94" s="127"/>
      <x:c r="AF94" s="127"/>
      <x:c r="AG94" s="127"/>
      <x:c r="AH94" s="127"/>
      <x:c r="AI94" s="127"/>
      <x:c r="AJ94" s="127"/>
      <x:c r="AK94" s="127"/>
      <x:c r="AL94" s="127"/>
    </x:row>
    <x:row r="95">
      <x:c r="A95" s="367" t="n">
        <x:f>IF(A94="","",IF(A94+'00_Start'!$B$12&lt;='00_Start'!$B$11,A94+'00_Start'!$B$12,""))</x:f>
        <x:v>51.824500000000214</x:v>
      </x:c>
      <x:c r="B95" s="367" t="n">
        <x:f>IF(A95="","",2/TAN(RADIANS(A95)))</x:f>
        <x:v>1.5724604748987199</x:v>
      </x:c>
      <x:c r="C95" s="369" t="n">
        <x:f>IF($A95="","",ABS(2/T95-'02_Constants'!$D$6)/'02_Constants'!$D$6)</x:f>
        <x:v>0.001059429587041941</x:v>
      </x:c>
      <x:c r="D95" s="369" t="n">
        <x:f>IF($A95="","",ABS(2/(T95+2*V95)-'02_Constants'!$D$7)/'02_Constants'!$D$7)</x:f>
        <x:v>0.00015479629519933965</x:v>
      </x:c>
      <x:c r="E95" s="369" t="n">
        <x:f>IF($A95="","",ABS((T95+2*V95)/2-'02_Constants'!$D$8)/'02_Constants'!$D$8)</x:f>
        <x:v>0.00007838740423303712</x:v>
      </x:c>
      <x:c r="F95" s="369" t="n">
        <x:f>IF($A95="","",ABS((T95+2*V95)/V95-'02_Constants'!$D$9)/'02_Constants'!$D$9)</x:f>
        <x:v>0.00007838740423301824</x:v>
      </x:c>
      <x:c r="G95" s="369" t="n">
        <x:f>IF($A95="","",ABS(V95-'02_Constants'!$D$10)/'02_Constants'!$D$10)</x:f>
        <x:v>0</x:v>
      </x:c>
      <x:c r="H95" s="369" t="n">
        <x:f>IF($A95="","",ABS((W95+1)/W95-'02_Constants'!$D$11)/'02_Constants'!$D$11)</x:f>
        <x:v>0.0000342683859146795</x:v>
      </x:c>
      <x:c r="I95" s="369" t="n">
        <x:f>IF($A95="","",ABS((U95+2*V95)/(W95+1)-'02_Constants'!$D$12)/'02_Constants'!$D$12)</x:f>
        <x:v>0.0003661827441420416</x:v>
      </x:c>
      <x:c r="J95" s="369" t="n">
        <x:f>IF($A95="","",ABS(X95/U95-'02_Constants'!$D$13)/'02_Constants'!$D$13)</x:f>
        <x:v>0.0000698517728340412</x:v>
      </x:c>
      <x:c r="K95" s="369" t="n">
        <x:f>IF($A95="","",ABS(W95/(W95+U95)-'02_Constants'!$D$14)/'02_Constants'!$D$14)</x:f>
        <x:v>0.00002367831162159159</x:v>
      </x:c>
      <x:c r="L95" s="369" t="n">
        <x:f>IF($A95="","",ABS(W95/U95-'02_Constants'!$D$15)/'02_Constants'!$D$15)</x:f>
        <x:v>0.0000619882497080937</x:v>
      </x:c>
      <x:c r="M95" s="369" t="n">
        <x:f>IF($A95="","",ABS(2*A95/(90-A95)-'02_Constants'!$D$16)/'02_Constants'!$D$16)</x:f>
        <x:v>0.0011830572493038902</x:v>
      </x:c>
      <x:c r="N95" s="369" t="n">
        <x:f>IF($A95="","",ABS(2*A95/(90-A95)-1-'02_Constants'!$D$17)/'02_Constants'!$D$17)</x:f>
        <x:v>0.001871569011291652</x:v>
      </x:c>
      <x:c r="O95" s="369" t="n">
        <x:f>IF(A95="","",AVERAGE(C95:N95))</x:f>
        <x:v>0.00041513303462694377</x:v>
      </x:c>
      <x:c r="P95" s="369" t="n">
        <x:f>IF(A95="","",SUMPRODUCT(C95:N95,'03_12_Errors'!$P$4:$AA$4)/SUM('03_12_Errors'!$P$4:$AA$4))</x:f>
        <x:v>0.0005277687641031748</x:v>
      </x:c>
      <x:c r="Q95" s="369" t="n">
        <x:f>IF(A95="","",SQRT(SUMSQ(C95:N95)/12))</x:f>
        <x:v>0.0007191188898252243</x:v>
      </x:c>
      <x:c r="R95" s="369" t="n">
        <x:f>IF(A95="","",MAX(C95:N95))</x:f>
        <x:v>0.001871569011291652</x:v>
      </x:c>
      <x:c r="S95" s="390" t="n">
        <x:f>IF(A95="","",COUNTIF(C95:N95,"&lt;="&amp;'00_Start'!$B$7))</x:f>
        <x:v>9</x:v>
      </x:c>
      <x:c r="T95" s="365" t="n">
        <x:f>IF(A95="","",0.5*TAN(RADIANS(A95)))</x:f>
        <x:v>0.6359460323251741</x:v>
      </x:c>
      <x:c r="U95" s="365" t="n">
        <x:f>IF(A95="","",0.5)</x:f>
        <x:v>0.5</x:v>
      </x:c>
      <x:c r="V95" s="365" t="n">
        <x:f>IF(A95="","",SQRT(2))</x:f>
        <x:v>1.4142135623730951</x:v>
      </x:c>
      <x:c r="W95" s="365" t="n">
        <x:f>IF(A95="","",SQRT(T95^2+U95^2))</x:f>
        <x:v>0.808966844827482</x:v>
      </x:c>
      <x:c r="X95" s="365" t="n">
        <x:f>IF(A95="","",SQRT(T95^2+2*U95^2))</x:f>
        <x:v>0.9510138569075276</x:v>
      </x:c>
      <x:c r="Y95" s="127"/>
      <x:c r="Z95" s="127"/>
      <x:c r="AA95" s="127"/>
      <x:c r="AB95" s="127"/>
      <x:c r="AC95" s="127"/>
      <x:c r="AD95" s="127"/>
      <x:c r="AE95" s="127"/>
      <x:c r="AF95" s="127"/>
      <x:c r="AG95" s="127"/>
      <x:c r="AH95" s="127"/>
      <x:c r="AI95" s="127"/>
      <x:c r="AJ95" s="127"/>
      <x:c r="AK95" s="127"/>
      <x:c r="AL95" s="127"/>
    </x:row>
    <x:row r="96">
      <x:c r="A96" s="367" t="n">
        <x:f>IF(A95="","",IF(A95+'00_Start'!$B$12&lt;='00_Start'!$B$11,A95+'00_Start'!$B$12,""))</x:f>
        <x:v>51.825000000000216</x:v>
      </x:c>
      <x:c r="B96" s="367" t="n">
        <x:f>IF(A96="","",2/TAN(RADIANS(A96)))</x:f>
        <x:v>1.5724322329078138</x:v>
      </x:c>
      <x:c r="C96" s="369" t="n">
        <x:f>IF($A96="","",ABS(2/T96-'02_Constants'!$D$6)/'02_Constants'!$D$6)</x:f>
        <x:v>0.0010414501772200802</x:v>
      </x:c>
      <x:c r="D96" s="369" t="n">
        <x:f>IF($A96="","",ABS(2/(T96+2*V96)-'02_Constants'!$D$7)/'02_Constants'!$D$7)</x:f>
        <x:v>0.00015149879554707867</x:v>
      </x:c>
      <x:c r="E96" s="369" t="n">
        <x:f>IF($A96="","",ABS((T96+2*V96)/2-'02_Constants'!$D$8)/'02_Constants'!$D$8)</x:f>
        <x:v>0.00008168466283690338</x:v>
      </x:c>
      <x:c r="F96" s="369" t="n">
        <x:f>IF($A96="","",ABS((T96+2*V96)/V96-'02_Constants'!$D$9)/'02_Constants'!$D$9)</x:f>
        <x:v>0.00008168466283678305</x:v>
      </x:c>
      <x:c r="G96" s="369" t="n">
        <x:f>IF($A96="","",ABS(V96-'02_Constants'!$D$10)/'02_Constants'!$D$10)</x:f>
        <x:v>0</x:v>
      </x:c>
      <x:c r="H96" s="369" t="n">
        <x:f>IF($A96="","",ABS((W96+1)/W96-'02_Constants'!$D$11)/'02_Constants'!$D$11)</x:f>
        <x:v>0.000028132413552161446</x:v>
      </x:c>
      <x:c r="I96" s="369" t="n">
        <x:f>IF($A96="","",ABS((U96+2*V96)/(W96+1)-'02_Constants'!$D$12)/'02_Constants'!$D$12)</x:f>
        <x:v>0.00036121726797359237</x:v>
      </x:c>
      <x:c r="J96" s="369" t="n">
        <x:f>IF($A96="","",ABS(X96/U96-'02_Constants'!$D$13)/'02_Constants'!$D$13)</x:f>
        <x:v>0.00006182091340356464</x:v>
      </x:c>
      <x:c r="K96" s="369" t="n">
        <x:f>IF($A96="","",ABS(W96/(W96+U96)-'02_Constants'!$D$14)/'02_Constants'!$D$14)</x:f>
        <x:v>0.00001943864180376894</x:v>
      </x:c>
      <x:c r="L96" s="369" t="n">
        <x:f>IF($A96="","",ABS(W96/U96-'02_Constants'!$D$15)/'02_Constants'!$D$15)</x:f>
        <x:v>0.000050889424343534425</x:v>
      </x:c>
      <x:c r="M96" s="369" t="n">
        <x:f>IF($A96="","",ABS(2*A96/(90-A96)-'02_Constants'!$D$16)/'02_Constants'!$D$16)</x:f>
        <x:v>0.0011603385089620185</x:v>
      </x:c>
      <x:c r="N96" s="369" t="n">
        <x:f>IF($A96="","",ABS(2*A96/(90-A96)-1-'02_Constants'!$D$17)/'02_Constants'!$D$17)</x:f>
        <x:v>0.0018356284932613985</x:v>
      </x:c>
      <x:c r="O96" s="369" t="n">
        <x:f>IF(A96="","",AVERAGE(C96:N96))</x:f>
        <x:v>0.00040614866347840704</x:v>
      </x:c>
      <x:c r="P96" s="369" t="n">
        <x:f>IF(A96="","",SUMPRODUCT(C96:N96,'03_12_Errors'!$P$4:$AA$4)/SUM('03_12_Errors'!$P$4:$AA$4))</x:f>
        <x:v>0.0005167080100026149</x:v>
      </x:c>
      <x:c r="Q96" s="369" t="n">
        <x:f>IF(A96="","",SQRT(SUMSQ(C96:N96)/12))</x:f>
        <x:v>0.0007056256864559176</x:v>
      </x:c>
      <x:c r="R96" s="369" t="n">
        <x:f>IF(A96="","",MAX(C96:N96))</x:f>
        <x:v>0.0018356284932613985</x:v>
      </x:c>
      <x:c r="S96" s="390" t="n">
        <x:f>IF(A96="","",COUNTIF(C96:N96,"&lt;="&amp;'00_Start'!$B$7))</x:f>
        <x:v>9</x:v>
      </x:c>
      <x:c r="T96" s="365" t="n">
        <x:f>IF(A96="","",0.5*TAN(RADIANS(A96)))</x:f>
        <x:v>0.6359574543640295</x:v>
      </x:c>
      <x:c r="U96" s="365" t="n">
        <x:f>IF(A96="","",0.5)</x:f>
        <x:v>0.5</x:v>
      </x:c>
      <x:c r="V96" s="365" t="n">
        <x:f>IF(A96="","",SQRT(2))</x:f>
        <x:v>1.4142135623730951</x:v>
      </x:c>
      <x:c r="W96" s="365" t="n">
        <x:f>IF(A96="","",SQRT(T96^2+U96^2))</x:f>
        <x:v>0.8089758239658196</x:v>
      </x:c>
      <x:c r="X96" s="365" t="n">
        <x:f>IF(A96="","",SQRT(T96^2+2*U96^2))</x:f>
        <x:v>0.9510214948996562</x:v>
      </x:c>
      <x:c r="Y96" s="127"/>
      <x:c r="Z96" s="127"/>
      <x:c r="AA96" s="127"/>
      <x:c r="AB96" s="127"/>
      <x:c r="AC96" s="127"/>
      <x:c r="AD96" s="127"/>
      <x:c r="AE96" s="127"/>
      <x:c r="AF96" s="127"/>
      <x:c r="AG96" s="127"/>
      <x:c r="AH96" s="127"/>
      <x:c r="AI96" s="127"/>
      <x:c r="AJ96" s="127"/>
      <x:c r="AK96" s="127"/>
      <x:c r="AL96" s="127"/>
    </x:row>
    <x:row r="97">
      <x:c r="A97" s="367" t="n">
        <x:f>IF(A96="","",IF(A96+'00_Start'!$B$12&lt;='00_Start'!$B$11,A96+'00_Start'!$B$12,""))</x:f>
        <x:v>51.82550000000022</x:v>
      </x:c>
      <x:c r="B97" s="367" t="n">
        <x:f>IF(A97="","",2/TAN(RADIANS(A97)))</x:f>
        <x:v>1.5724039913044432</x:v>
      </x:c>
      <x:c r="C97" s="369" t="n">
        <x:f>IF($A97="","",ABS(2/T97-'02_Constants'!$D$6)/'02_Constants'!$D$6)</x:f>
        <x:v>0.0010234710141110185</x:v>
      </x:c>
      <x:c r="D97" s="369" t="n">
        <x:f>IF($A97="","",ABS(2/(T97+2*V97)-'02_Constants'!$D$7)/'02_Constants'!$D$7)</x:f>
        <x:v>0.00014820124443683846</x:v>
      </x:c>
      <x:c r="E97" s="369" t="n">
        <x:f>IF($A97="","",ABS((T97+2*V97)/2-'02_Constants'!$D$8)/'02_Constants'!$D$8)</x:f>
        <x:v>0.00008498199463783152</x:v>
      </x:c>
      <x:c r="F97" s="369" t="n">
        <x:f>IF($A97="","",ABS((T97+2*V97)/V97-'02_Constants'!$D$9)/'02_Constants'!$D$9)</x:f>
        <x:v>0.00008498199463770654</x:v>
      </x:c>
      <x:c r="G97" s="369" t="n">
        <x:f>IF($A97="","",ABS(V97-'02_Constants'!$D$10)/'02_Constants'!$D$10)</x:f>
        <x:v>0</x:v>
      </x:c>
      <x:c r="H97" s="369" t="n">
        <x:f>IF($A97="","",ABS((W97+1)/W97-'02_Constants'!$D$11)/'02_Constants'!$D$11)</x:f>
        <x:v>0.000021996399090630613</x:v>
      </x:c>
      <x:c r="I97" s="369" t="n">
        <x:f>IF($A97="","",ABS((U97+2*V97)/(W97+1)-'02_Constants'!$D$12)/'02_Constants'!$D$12)</x:f>
        <x:v>0.00035625169680152856</x:v>
      </x:c>
      <x:c r="J97" s="369" t="n">
        <x:f>IF($A97="","",ABS(X97/U97-'02_Constants'!$D$13)/'02_Constants'!$D$13)</x:f>
        <x:v>0.00005378979595184049</x:v>
      </x:c>
      <x:c r="K97" s="369" t="n">
        <x:f>IF($A97="","",ABS(W97/(W97+U97)-'02_Constants'!$D$14)/'02_Constants'!$D$14)</x:f>
        <x:v>0.000015198906946263097</x:v>
      </x:c>
      <x:c r="L97" s="369" t="n">
        <x:f>IF($A97="","",ABS(W97/U97-'02_Constants'!$D$15)/'02_Constants'!$D$15)</x:f>
        <x:v>0.00003979027644084813</x:v>
      </x:c>
      <x:c r="M97" s="369" t="n">
        <x:f>IF($A97="","",ABS(2*A97/(90-A97)-'02_Constants'!$D$16)/'02_Constants'!$D$16)</x:f>
        <x:v>0.001137619173491537</x:v>
      </x:c>
      <x:c r="N97" s="369" t="n">
        <x:f>IF($A97="","",ABS(2*A97/(90-A97)-1-'02_Constants'!$D$17)/'02_Constants'!$D$17)</x:f>
        <x:v>0.0017996870337515466</x:v>
      </x:c>
      <x:c r="O97" s="369" t="n">
        <x:f>IF(A97="","",AVERAGE(C97:N97))</x:f>
        <x:v>0.0003971641275247991</x:v>
      </x:c>
      <x:c r="P97" s="369" t="n">
        <x:f>IF(A97="","",SUMPRODUCT(C97:N97,'03_12_Errors'!$P$4:$AA$4)/SUM('03_12_Errors'!$P$4:$AA$4))</x:f>
        <x:v>0.0005056470915359948</x:v>
      </x:c>
      <x:c r="Q97" s="369" t="n">
        <x:f>IF(A97="","",SQRT(SUMSQ(C97:N97)/12))</x:f>
        <x:v>0.0006921619473203365</x:v>
      </x:c>
      <x:c r="R97" s="369" t="n">
        <x:f>IF(A97="","",MAX(C97:N97))</x:f>
        <x:v>0.0017996870337515466</x:v>
      </x:c>
      <x:c r="S97" s="390" t="n">
        <x:f>IF(A97="","",COUNTIF(C97:N97,"&lt;="&amp;'00_Start'!$B$7))</x:f>
        <x:v>9</x:v>
      </x:c>
      <x:c r="T97" s="365" t="n">
        <x:f>IF(A97="","",0.5*TAN(RADIANS(A97)))</x:f>
        <x:v>0.6359688766564467</x:v>
      </x:c>
      <x:c r="U97" s="365" t="n">
        <x:f>IF(A97="","",0.5)</x:f>
        <x:v>0.5</x:v>
      </x:c>
      <x:c r="V97" s="365" t="n">
        <x:f>IF(A97="","",SQRT(2))</x:f>
        <x:v>1.4142135623730951</x:v>
      </x:c>
      <x:c r="W97" s="365" t="n">
        <x:f>IF(A97="","",SQRT(T97^2+U97^2))</x:f>
        <x:v>0.8089848033650959</x:v>
      </x:c>
      <x:c r="X97" s="365" t="n">
        <x:f>IF(A97="","",SQRT(T97^2+2*U97^2))</x:f>
        <x:v>0.9510291331371836</x:v>
      </x:c>
      <x:c r="Y97" s="127"/>
      <x:c r="Z97" s="127"/>
      <x:c r="AA97" s="127"/>
      <x:c r="AB97" s="127"/>
      <x:c r="AC97" s="127"/>
      <x:c r="AD97" s="127"/>
      <x:c r="AE97" s="127"/>
      <x:c r="AF97" s="127"/>
      <x:c r="AG97" s="127"/>
      <x:c r="AH97" s="127"/>
      <x:c r="AI97" s="127"/>
      <x:c r="AJ97" s="127"/>
      <x:c r="AK97" s="127"/>
      <x:c r="AL97" s="127"/>
    </x:row>
    <x:row r="98">
      <x:c r="A98" s="367" t="n">
        <x:f>IF(A97="","",IF(A97+'00_Start'!$B$12&lt;='00_Start'!$B$11,A97+'00_Start'!$B$12,""))</x:f>
        <x:v>51.82600000000022</x:v>
      </x:c>
      <x:c r="B98" s="367" t="n">
        <x:f>IF(A98="","",2/TAN(RADIANS(A98)))</x:f>
        <x:v>1.572375750088596</x:v>
      </x:c>
      <x:c r="C98" s="369" t="n">
        <x:f>IF($A98="","",ABS(2/T98-'02_Constants'!$D$6)/'02_Constants'!$D$6)</x:f>
        <x:v>0.0010054920977069818</x:v>
      </x:c>
      <x:c r="D98" s="369" t="n">
        <x:f>IF($A98="","",ABS(2/(T98+2*V98)-'02_Constants'!$D$7)/'02_Constants'!$D$7)</x:f>
        <x:v>0.00014490364186669564</x:v>
      </x:c>
      <x:c r="E98" s="369" t="n">
        <x:f>IF($A98="","",ABS((T98+2*V98)/2-'02_Constants'!$D$8)/'02_Constants'!$D$8)</x:f>
        <x:v>0.00008827939963877007</x:v>
      </x:c>
      <x:c r="F98" s="369" t="n">
        <x:f>IF($A98="","",ABS((T98+2*V98)/V98-'02_Constants'!$D$9)/'02_Constants'!$D$9)</x:f>
        <x:v>0.0000882793996386895</x:v>
      </x:c>
      <x:c r="G98" s="369" t="n">
        <x:f>IF($A98="","",ABS(V98-'02_Constants'!$D$10)/'02_Constants'!$D$10)</x:f>
        <x:v>0</x:v>
      </x:c>
      <x:c r="H98" s="369" t="n">
        <x:f>IF($A98="","",ABS((W98+1)/W98-'02_Constants'!$D$11)/'02_Constants'!$D$11)</x:f>
        <x:v>0.00001586034253028561</x:v>
      </x:c>
      <x:c r="I98" s="369" t="n">
        <x:f>IF($A98="","",ABS((U98+2*V98)/(W98+1)-'02_Constants'!$D$12)/'02_Constants'!$D$12)</x:f>
        <x:v>0.0003512860306236771</x:v>
      </x:c>
      <x:c r="J98" s="369" t="n">
        <x:f>IF($A98="","",ABS(X98/U98-'02_Constants'!$D$13)/'02_Constants'!$D$13)</x:f>
        <x:v>0.0000457584204684795</x:v>
      </x:c>
      <x:c r="K98" s="369" t="n">
        <x:f>IF($A98="","",ABS(W98/(W98+U98)-'02_Constants'!$D$14)/'02_Constants'!$D$14)</x:f>
        <x:v>0.00001095910704853515</x:v>
      </x:c>
      <x:c r="L98" s="369" t="n">
        <x:f>IF($A98="","",ABS(W98/U98-'02_Constants'!$D$15)/'02_Constants'!$D$15)</x:f>
        <x:v>0.000028690805987958457</x:v>
      </x:c>
      <x:c r="M98" s="369" t="n">
        <x:f>IF($A98="","",ABS(2*A98/(90-A98)-'02_Constants'!$D$16)/'02_Constants'!$D$16)</x:f>
        <x:v>0.0011148992428689202</x:v>
      </x:c>
      <x:c r="N98" s="369" t="n">
        <x:f>IF($A98="","",ABS(2*A98/(90-A98)-1-'02_Constants'!$D$17)/'02_Constants'!$D$17)</x:f>
        <x:v>0.00176374463272488</x:v>
      </x:c>
      <x:c r="O98" s="369" t="n">
        <x:f>IF(A98="","",AVERAGE(C98:N98))</x:f>
        <x:v>0.00038817942675865614</x:v>
      </x:c>
      <x:c r="P98" s="369" t="n">
        <x:f>IF(A98="","",SUMPRODUCT(C98:N98,'03_12_Errors'!$P$4:$AA$4)/SUM('03_12_Errors'!$P$4:$AA$4))</x:f>
        <x:v>0.0004945860086943917</x:v>
      </x:c>
      <x:c r="Q98" s="369" t="n">
        <x:f>IF(A98="","",SQRT(SUMSQ(C98:N98)/12))</x:f>
        <x:v>0.0006787294443290043</x:v>
      </x:c>
      <x:c r="R98" s="369" t="n">
        <x:f>IF(A98="","",MAX(C98:N98))</x:f>
        <x:v>0.00176374463272488</x:v>
      </x:c>
      <x:c r="S98" s="390" t="n">
        <x:f>IF(A98="","",COUNTIF(C98:N98,"&lt;="&amp;'00_Start'!$B$7))</x:f>
        <x:v>9</x:v>
      </x:c>
      <x:c r="T98" s="365" t="n">
        <x:f>IF(A98="","",0.5*TAN(RADIANS(A98)))</x:f>
        <x:v>0.635980299202436</x:v>
      </x:c>
      <x:c r="U98" s="365" t="n">
        <x:f>IF(A98="","",0.5)</x:f>
        <x:v>0.5</x:v>
      </x:c>
      <x:c r="V98" s="365" t="n">
        <x:f>IF(A98="","",SQRT(2))</x:f>
        <x:v>1.4142135623730951</x:v>
      </x:c>
      <x:c r="W98" s="365" t="n">
        <x:f>IF(A98="","",SQRT(T98^2+U98^2))</x:f>
        <x:v>0.8089937830253209</x:v>
      </x:c>
      <x:c r="X98" s="365" t="n">
        <x:f>IF(A98="","",SQRT(T98^2+2*U98^2))</x:f>
        <x:v>0.9510367716201199</x:v>
      </x:c>
      <x:c r="Y98" s="127"/>
      <x:c r="Z98" s="127"/>
      <x:c r="AA98" s="127"/>
      <x:c r="AB98" s="127"/>
      <x:c r="AC98" s="127"/>
      <x:c r="AD98" s="127"/>
      <x:c r="AE98" s="127"/>
      <x:c r="AF98" s="127"/>
      <x:c r="AG98" s="127"/>
      <x:c r="AH98" s="127"/>
      <x:c r="AI98" s="127"/>
      <x:c r="AJ98" s="127"/>
      <x:c r="AK98" s="127"/>
      <x:c r="AL98" s="127"/>
    </x:row>
    <x:row r="99">
      <x:c r="A99" s="367" t="n">
        <x:f>IF(A98="","",IF(A98+'00_Start'!$B$12&lt;='00_Start'!$B$11,A98+'00_Start'!$B$12,""))</x:f>
        <x:v>51.82650000000022</x:v>
      </x:c>
      <x:c r="B99" s="367" t="n">
        <x:f>IF(A99="","",2/TAN(RADIANS(A99)))</x:f>
        <x:v>1.5723475092602597</x:v>
      </x:c>
      <x:c r="C99" s="369" t="n">
        <x:f>IF($A99="","",ABS(2/T99-'02_Constants'!$D$6)/'02_Constants'!$D$6)</x:f>
        <x:v>0.000987513428000054</x:v>
      </x:c>
      <x:c r="D99" s="369" t="n">
        <x:f>IF($A99="","",ABS(2/(T99+2*V99)-'02_Constants'!$D$7)/'02_Constants'!$D$7)</x:f>
        <x:v>0.0001416059878353038</x:v>
      </x:c>
      <x:c r="E99" s="369" t="n">
        <x:f>IF($A99="","",ABS((T99+2*V99)/2-'02_Constants'!$D$8)/'02_Constants'!$D$8)</x:f>
        <x:v>0.00009157687784253937</x:v>
      </x:c>
      <x:c r="F99" s="369" t="n">
        <x:f>IF($A99="","",ABS((T99+2*V99)/V99-'02_Constants'!$D$9)/'02_Constants'!$D$9)</x:f>
        <x:v>0.00009157687784245142</x:v>
      </x:c>
      <x:c r="G99" s="369" t="n">
        <x:f>IF($A99="","",ABS(V99-'02_Constants'!$D$10)/'02_Constants'!$D$10)</x:f>
        <x:v>0</x:v>
      </x:c>
      <x:c r="H99" s="369" t="n">
        <x:f>IF($A99="","",ABS((W99+1)/W99-'02_Constants'!$D$11)/'02_Constants'!$D$11)</x:f>
        <x:v>0.000009724243871523643</x:v>
      </x:c>
      <x:c r="I99" s="369" t="n">
        <x:f>IF($A99="","",ABS((U99+2*V99)/(W99+1)-'02_Constants'!$D$12)/'02_Constants'!$D$12)</x:f>
        <x:v>0.0003463202694381065</x:v>
      </x:c>
      <x:c r="J99" s="369" t="n">
        <x:f>IF($A99="","",ABS(X99/U99-'02_Constants'!$D$13)/'02_Constants'!$D$13)</x:f>
        <x:v>0.000037726786942858985</x:v>
      </x:c>
      <x:c r="K99" s="369" t="n">
        <x:f>IF($A99="","",ABS(W99/(W99+U99)-'02_Constants'!$D$14)/'02_Constants'!$D$14)</x:f>
        <x:v>0.000006719242109327632</x:v>
      </x:c>
      <x:c r="L99" s="369" t="n">
        <x:f>IF($A99="","",ABS(W99/U99-'02_Constants'!$D$15)/'02_Constants'!$D$15)</x:f>
        <x:v>0.000017591012971965697</x:v>
      </x:c>
      <x:c r="M99" s="369" t="n">
        <x:f>IF($A99="","",ABS(2*A99/(90-A99)-'02_Constants'!$D$16)/'02_Constants'!$D$16)</x:f>
        <x:v>0.0010921787170708062</x:v>
      </x:c>
      <x:c r="N99" s="369" t="n">
        <x:f>IF($A99="","",ABS(2*A99/(90-A99)-1-'02_Constants'!$D$17)/'02_Constants'!$D$17)</x:f>
        <x:v>0.0017278012901444399</x:v>
      </x:c>
      <x:c r="O99" s="369" t="n">
        <x:f>IF(A99="","",AVERAGE(C99:N99))</x:f>
        <x:v>0.0003791945611724481</x:v>
      </x:c>
      <x:c r="P99" s="369" t="n">
        <x:f>IF(A99="","",SUMPRODUCT(C99:N99,'03_12_Errors'!$P$4:$AA$4)/SUM('03_12_Errors'!$P$4:$AA$4))</x:f>
        <x:v>0.0004835247614688356</x:v>
      </x:c>
      <x:c r="Q99" s="369" t="n">
        <x:f>IF(A99="","",SQRT(SUMSQ(C99:N99)/12))</x:f>
        <x:v>0.0006653300882504803</x:v>
      </x:c>
      <x:c r="R99" s="369" t="n">
        <x:f>IF(A99="","",MAX(C99:N99))</x:f>
        <x:v>0.0017278012901444399</x:v>
      </x:c>
      <x:c r="S99" s="390" t="n">
        <x:f>IF(A99="","",COUNTIF(C99:N99,"&lt;="&amp;'00_Start'!$B$7))</x:f>
        <x:v>10</x:v>
      </x:c>
      <x:c r="T99" s="365" t="n">
        <x:f>IF(A99="","",0.5*TAN(RADIANS(A99)))</x:f>
        <x:v>0.6359917220020075</x:v>
      </x:c>
      <x:c r="U99" s="365" t="n">
        <x:f>IF(A99="","",0.5)</x:f>
        <x:v>0.5</x:v>
      </x:c>
      <x:c r="V99" s="365" t="n">
        <x:f>IF(A99="","",SQRT(2))</x:f>
        <x:v>1.4142135623730951</x:v>
      </x:c>
      <x:c r="W99" s="365" t="n">
        <x:f>IF(A99="","",SQRT(T99^2+U99^2))</x:f>
        <x:v>0.8090027629465049</x:v>
      </x:c>
      <x:c r="X99" s="365" t="n">
        <x:f>IF(A99="","",SQRT(T99^2+2*U99^2))</x:f>
        <x:v>0.9510444103484751</x:v>
      </x:c>
      <x:c r="Y99" s="127"/>
      <x:c r="Z99" s="127"/>
      <x:c r="AA99" s="127"/>
      <x:c r="AB99" s="127"/>
      <x:c r="AC99" s="127"/>
      <x:c r="AD99" s="127"/>
      <x:c r="AE99" s="127"/>
      <x:c r="AF99" s="127"/>
      <x:c r="AG99" s="127"/>
      <x:c r="AH99" s="127"/>
      <x:c r="AI99" s="127"/>
      <x:c r="AJ99" s="127"/>
      <x:c r="AK99" s="127"/>
      <x:c r="AL99" s="127"/>
    </x:row>
    <x:row r="100">
      <x:c r="A100" s="367" t="n">
        <x:f>IF(A99="","",IF(A99+'00_Start'!$B$12&lt;='00_Start'!$B$11,A99+'00_Start'!$B$12,""))</x:f>
        <x:v>51.827000000000226</x:v>
      </x:c>
      <x:c r="B100" s="367" t="n">
        <x:f>IF(A100="","",2/TAN(RADIANS(A100)))</x:f>
        <x:v>1.572319268819422</x:v>
      </x:c>
      <x:c r="C100" s="369" t="n">
        <x:f>IF($A100="","",ABS(2/T100-'02_Constants'!$D$6)/'02_Constants'!$D$6)</x:f>
        <x:v>0.00096953500498246</x:v>
      </x:c>
      <x:c r="D100" s="369" t="n">
        <x:f>IF($A100="","",ABS(2/(T100+2*V100)-'02_Constants'!$D$7)/'02_Constants'!$D$7)</x:f>
        <x:v>0.00013830828234054715</x:v>
      </x:c>
      <x:c r="E100" s="369" t="n">
        <x:f>IF($A100="","",ABS((T100+2*V100)/2-'02_Constants'!$D$8)/'02_Constants'!$D$8)</x:f>
        <x:v>0.00009487442925208798</x:v>
      </x:c>
      <x:c r="F100" s="369" t="n">
        <x:f>IF($A100="","",ABS((T100+2*V100)/V100-'02_Constants'!$D$9)/'02_Constants'!$D$9)</x:f>
        <x:v>0.00009487442925207434</x:v>
      </x:c>
      <x:c r="G100" s="369" t="n">
        <x:f>IF($A100="","",ABS(V100-'02_Constants'!$D$10)/'02_Constants'!$D$10)</x:f>
        <x:v>0</x:v>
      </x:c>
      <x:c r="H100" s="369" t="n">
        <x:f>IF($A100="","",ABS((W100+1)/W100-'02_Constants'!$D$11)/'02_Constants'!$D$11)</x:f>
        <x:v>0.0000035881031149405188</x:v>
      </x:c>
      <x:c r="I100" s="369" t="n">
        <x:f>IF($A100="","",ABS((U100+2*V100)/(W100+1)-'02_Constants'!$D$12)/'02_Constants'!$D$12)</x:f>
        <x:v>0.0003413544132428851</x:v>
      </x:c>
      <x:c r="J100" s="369" t="n">
        <x:f>IF($A100="","",ABS(X100/U100-'02_Constants'!$D$13)/'02_Constants'!$D$13)</x:f>
        <x:v>0.00002969489536423953</x:v>
      </x:c>
      <x:c r="K100" s="369" t="n">
        <x:f>IF($A100="","",ABS(W100/(W100+U100)-'02_Constants'!$D$14)/'02_Constants'!$D$14)</x:f>
        <x:v>0.000002479312127921993</x:v>
      </x:c>
      <x:c r="L100" s="369" t="n">
        <x:f>IF($A100="","",ABS(W100/U100-'02_Constants'!$D$15)/'02_Constants'!$D$15)</x:f>
        <x:v>0.000006490897380656271</x:v>
      </x:c>
      <x:c r="M100" s="369" t="n">
        <x:f>IF($A100="","",ABS(2*A100/(90-A100)-'02_Constants'!$D$16)/'02_Constants'!$D$16)</x:f>
        <x:v>0.0010694575960738329</x:v>
      </x:c>
      <x:c r="N100" s="369" t="n">
        <x:f>IF($A100="","",ABS(2*A100/(90-A100)-1-'02_Constants'!$D$17)/'02_Constants'!$D$17)</x:f>
        <x:v>0.0016918570059732683</x:v>
      </x:c>
      <x:c r="O100" s="369" t="n">
        <x:f>IF(A100="","",AVERAGE(C100:N100))</x:f>
        <x:v>0.0003702095307587428</x:v>
      </x:c>
      <x:c r="P100" s="369" t="n">
        <x:f>IF(A100="","",SUMPRODUCT(C100:N100,'03_12_Errors'!$P$4:$AA$4)/SUM('03_12_Errors'!$P$4:$AA$4))</x:f>
        <x:v>0.0004724633498504242</x:v>
      </x:c>
      <x:c r="Q100" s="369" t="n">
        <x:f>IF(A100="","",SQRT(SUMSQ(C100:N100)/12))</x:f>
        <x:v>0.0006519659420703076</x:v>
      </x:c>
      <x:c r="R100" s="369" t="n">
        <x:f>IF(A100="","",MAX(C100:N100))</x:f>
        <x:v>0.0016918570059732683</x:v>
      </x:c>
      <x:c r="S100" s="390" t="n">
        <x:f>IF(A100="","",COUNTIF(C100:N100,"&lt;="&amp;'00_Start'!$B$7))</x:f>
        <x:v>10</x:v>
      </x:c>
      <x:c r="T100" s="365" t="n">
        <x:f>IF(A100="","",0.5*TAN(RADIANS(A100)))</x:f>
        <x:v>0.6360031450551714</x:v>
      </x:c>
      <x:c r="U100" s="365" t="n">
        <x:f>IF(A100="","",0.5)</x:f>
        <x:v>0.5</x:v>
      </x:c>
      <x:c r="V100" s="365" t="n">
        <x:f>IF(A100="","",SQRT(2))</x:f>
        <x:v>1.4142135623730951</x:v>
      </x:c>
      <x:c r="W100" s="365" t="n">
        <x:f>IF(A100="","",SQRT(T100^2+U100^2))</x:f>
        <x:v>0.8090117431286578</x:v>
      </x:c>
      <x:c r="X100" s="365" t="n">
        <x:f>IF(A100="","",SQRT(T100^2+2*U100^2))</x:f>
        <x:v>0.9510520493222594</x:v>
      </x:c>
      <x:c r="Y100" s="127"/>
      <x:c r="Z100" s="127"/>
      <x:c r="AA100" s="127"/>
      <x:c r="AB100" s="127"/>
      <x:c r="AC100" s="127"/>
      <x:c r="AD100" s="127"/>
      <x:c r="AE100" s="127"/>
      <x:c r="AF100" s="127"/>
      <x:c r="AG100" s="127"/>
      <x:c r="AH100" s="127"/>
      <x:c r="AI100" s="127"/>
      <x:c r="AJ100" s="127"/>
      <x:c r="AK100" s="127"/>
      <x:c r="AL100" s="127"/>
    </x:row>
    <x:row r="101">
      <x:c r="A101" s="367" t="n">
        <x:f>IF(A100="","",IF(A100+'00_Start'!$B$12&lt;='00_Start'!$B$11,A100+'00_Start'!$B$12,""))</x:f>
        <x:v>51.82750000000023</x:v>
      </x:c>
      <x:c r="B101" s="367" t="n">
        <x:f>IF(A101="","",2/TAN(RADIANS(A101)))</x:f>
        <x:v>1.5722910287660714</x:v>
      </x:c>
      <x:c r="C101" s="369" t="n">
        <x:f>IF($A101="","",ABS(2/T101-'02_Constants'!$D$6)/'02_Constants'!$D$6)</x:f>
        <x:v>0.0009515568286467081</x:v>
      </x:c>
      <x:c r="D101" s="369" t="n">
        <x:f>IF($A101="","",ABS(2/(T101+2*V101)-'02_Constants'!$D$7)/'02_Constants'!$D$7)</x:f>
        <x:v>0.00013501052538107938</x:v>
      </x:c>
      <x:c r="E101" s="369" t="n">
        <x:f>IF($A101="","",ABS((T101+2*V101)/2-'02_Constants'!$D$8)/'02_Constants'!$D$8)</x:f>
        <x:v>0.00009817205387036442</x:v>
      </x:c>
      <x:c r="F101" s="369" t="n">
        <x:f>IF($A101="","",ABS((T101+2*V101)/V101-'02_Constants'!$D$9)/'02_Constants'!$D$9)</x:f>
        <x:v>0.00009817205387027778</x:v>
      </x:c>
      <x:c r="G101" s="369" t="n">
        <x:f>IF($A101="","",ABS(V101-'02_Constants'!$D$10)/'02_Constants'!$D$10)</x:f>
        <x:v>0</x:v>
      </x:c>
      <x:c r="H101" s="369" t="n">
        <x:f>IF($A101="","",ABS((W101+1)/W101-'02_Constants'!$D$11)/'02_Constants'!$D$11)</x:f>
        <x:v>0.0000025480797388679553</x:v>
      </x:c>
      <x:c r="I101" s="369" t="n">
        <x:f>IF($A101="","",ABS((U101+2*V101)/(W101+1)-'02_Constants'!$D$12)/'02_Constants'!$D$12)</x:f>
        <x:v>0.00033638846203596067</x:v>
      </x:c>
      <x:c r="J101" s="369" t="n">
        <x:f>IF($A101="","",ABS(X101/U101-'02_Constants'!$D$13)/'02_Constants'!$D$13)</x:f>
        <x:v>0.00002166274572223191</x:v>
      </x:c>
      <x:c r="K101" s="369" t="n">
        <x:f>IF($A101="","",ABS(W101/(W101+U101)-'02_Constants'!$D$14)/'02_Constants'!$D$14)</x:f>
        <x:v>0.000001760682896579956</x:v>
      </x:c>
      <x:c r="L101" s="369" t="n">
        <x:f>IF($A101="","",ABS(W101/U101-'02_Constants'!$D$15)/'02_Constants'!$D$15)</x:f>
        <x:v>0.000004609540798320618</x:v>
      </x:c>
      <x:c r="M101" s="369" t="n">
        <x:f>IF($A101="","",ABS(2*A101/(90-A101)-'02_Constants'!$D$16)/'02_Constants'!$D$16)</x:f>
        <x:v>0.001046735879854638</x:v>
      </x:c>
      <x:c r="N101" s="369" t="n">
        <x:f>IF($A101="","",ABS(2*A101/(90-A101)-1-'02_Constants'!$D$17)/'02_Constants'!$D$17)</x:f>
        <x:v>0.001655911780174407</x:v>
      </x:c>
      <x:c r="O101" s="369" t="n">
        <x:f>IF(A101="","",AVERAGE(C101:N101))</x:f>
        <x:v>0.0003627107194157863</x:v>
      </x:c>
      <x:c r="P101" s="369" t="n">
        <x:f>IF(A101="","",SUMPRODUCT(C101:N101,'03_12_Errors'!$P$4:$AA$4)/SUM('03_12_Errors'!$P$4:$AA$4))</x:f>
        <x:v>0.0004623926964340978</x:v>
      </x:c>
      <x:c r="Q101" s="369" t="n">
        <x:f>IF(A101="","",SQRT(SUMSQ(C101:N101)/12))</x:f>
        <x:v>0.0006386392358529228</x:v>
      </x:c>
      <x:c r="R101" s="369" t="n">
        <x:f>IF(A101="","",MAX(C101:N101))</x:f>
        <x:v>0.001655911780174407</x:v>
      </x:c>
      <x:c r="S101" s="390" t="n">
        <x:f>IF(A101="","",COUNTIF(C101:N101,"&lt;="&amp;'00_Start'!$B$7))</x:f>
        <x:v>10</x:v>
      </x:c>
      <x:c r="T101" s="365" t="n">
        <x:f>IF(A101="","",0.5*TAN(RADIANS(A101)))</x:f>
        <x:v>0.6360145683619378</x:v>
      </x:c>
      <x:c r="U101" s="365" t="n">
        <x:f>IF(A101="","",0.5)</x:f>
        <x:v>0.5</x:v>
      </x:c>
      <x:c r="V101" s="365" t="n">
        <x:f>IF(A101="","",SQRT(2))</x:f>
        <x:v>1.4142135623730951</x:v>
      </x:c>
      <x:c r="W101" s="365" t="n">
        <x:f>IF(A101="","",SQRT(T101^2+U101^2))</x:f>
        <x:v>0.8090207235717896</x:v>
      </x:c>
      <x:c r="X101" s="365" t="n">
        <x:f>IF(A101="","",SQRT(T101^2+2*U101^2))</x:f>
        <x:v>0.9510596885414827</x:v>
      </x:c>
      <x:c r="Y101" s="127"/>
      <x:c r="Z101" s="127"/>
      <x:c r="AA101" s="127"/>
      <x:c r="AB101" s="127"/>
      <x:c r="AC101" s="127"/>
      <x:c r="AD101" s="127"/>
      <x:c r="AE101" s="127"/>
      <x:c r="AF101" s="127"/>
      <x:c r="AG101" s="127"/>
      <x:c r="AH101" s="127"/>
      <x:c r="AI101" s="127"/>
      <x:c r="AJ101" s="127"/>
      <x:c r="AK101" s="127"/>
      <x:c r="AL101" s="127"/>
    </x:row>
    <x:row r="102">
      <x:c r="A102" s="367" t="n">
        <x:f>IF(A101="","",IF(A101+'00_Start'!$B$12&lt;='00_Start'!$B$11,A101+'00_Start'!$B$12,""))</x:f>
        <x:v>51.82800000000023</x:v>
      </x:c>
      <x:c r="B102" s="367" t="n">
        <x:f>IF(A102="","",2/TAN(RADIANS(A102)))</x:f>
        <x:v>1.5722627891001946</x:v>
      </x:c>
      <x:c r="C102" s="369" t="n">
        <x:f>IF($A102="","",ABS(2/T102-'02_Constants'!$D$6)/'02_Constants'!$D$6)</x:f>
        <x:v>0.0009335788989844583</x:v>
      </x:c>
      <x:c r="D102" s="369" t="n">
        <x:f>IF($A102="","",ABS(2/(T102+2*V102)-'02_Constants'!$D$7)/'02_Constants'!$D$7)</x:f>
        <x:v>0.00013171271695497702</x:v>
      </x:c>
      <x:c r="E102" s="369" t="n">
        <x:f>IF($A102="","",ABS((T102+2*V102)/2-'02_Constants'!$D$8)/'02_Constants'!$D$8)</x:f>
        <x:v>0.00010146975170044543</x:v>
      </x:c>
      <x:c r="F102" s="369" t="n">
        <x:f>IF($A102="","",ABS((T102+2*V102)/V102-'02_Constants'!$D$9)/'02_Constants'!$D$9)</x:f>
        <x:v>0.0001014697517003251</x:v>
      </x:c>
      <x:c r="G102" s="369" t="n">
        <x:f>IF($A102="","",ABS(V102-'02_Constants'!$D$10)/'02_Constants'!$D$10)</x:f>
        <x:v>0</x:v>
      </x:c>
      <x:c r="H102" s="369" t="n">
        <x:f>IF($A102="","",ABS((W102+1)/W102-'02_Constants'!$D$11)/'02_Constants'!$D$11)</x:f>
        <x:v>0.000008684304689703174</x:v>
      </x:c>
      <x:c r="I102" s="369" t="n">
        <x:f>IF($A102="","",ABS((U102+2*V102)/(W102+1)-'02_Constants'!$D$12)/'02_Constants'!$D$12)</x:f>
        <x:v>0.00033142241581503946</x:v>
      </x:c>
      <x:c r="J102" s="369" t="n">
        <x:f>IF($A102="","",ABS(X102/U102-'02_Constants'!$D$13)/'02_Constants'!$D$13)</x:f>
        <x:v>0.000013630338006330168</x:v>
      </x:c>
      <x:c r="K102" s="369" t="n">
        <x:f>IF($A102="","",ABS(W102/(W102+U102)-'02_Constants'!$D$14)/'02_Constants'!$D$14)</x:f>
        <x:v>0.000006000742964896767</x:v>
      </x:c>
      <x:c r="L102" s="369" t="n">
        <x:f>IF($A102="","",ABS(W102/U102-'02_Constants'!$D$15)/'02_Constants'!$D$15)</x:f>
        <x:v>0.000015710301577590232</x:v>
      </x:c>
      <x:c r="M102" s="369" t="n">
        <x:f>IF($A102="","",ABS(2*A102/(90-A102)-'02_Constants'!$D$16)/'02_Constants'!$D$16)</x:f>
        <x:v>0.001024013568389696</x:v>
      </x:c>
      <x:c r="N102" s="369" t="n">
        <x:f>IF($A102="","",ABS(2*A102/(90-A102)-1-'02_Constants'!$D$17)/'02_Constants'!$D$17)</x:f>
        <x:v>0.001619965612710639</x:v>
      </x:c>
      <x:c r="O102" s="369" t="n">
        <x:f>IF(A102="","",AVERAGE(C102:N102))</x:f>
        <x:v>0.00035730486695784175</x:v>
      </x:c>
      <x:c r="P102" s="369" t="n">
        <x:f>IF(A102="","",SUMPRODUCT(C102:N102,'03_12_Errors'!$P$4:$AA$4)/SUM('03_12_Errors'!$P$4:$AA$4))</x:f>
        <x:v>0.0004537172944253292</x:v>
      </x:c>
      <x:c r="Q102" s="369" t="n">
        <x:f>IF(A102="","",SQRT(SUMSQ(C102:N102)/12))</x:f>
        <x:v>0.0006253523832959237</x:v>
      </x:c>
      <x:c r="R102" s="369" t="n">
        <x:f>IF(A102="","",MAX(C102:N102))</x:f>
        <x:v>0.001619965612710639</x:v>
      </x:c>
      <x:c r="S102" s="390" t="n">
        <x:f>IF(A102="","",COUNTIF(C102:N102,"&lt;="&amp;'00_Start'!$B$7))</x:f>
        <x:v>10</x:v>
      </x:c>
      <x:c r="T102" s="365" t="n">
        <x:f>IF(A102="","",0.5*TAN(RADIANS(A102)))</x:f>
        <x:v>0.636025991922317</x:v>
      </x:c>
      <x:c r="U102" s="365" t="n">
        <x:f>IF(A102="","",0.5)</x:f>
        <x:v>0.5</x:v>
      </x:c>
      <x:c r="V102" s="365" t="n">
        <x:f>IF(A102="","",SQRT(2))</x:f>
        <x:v>1.4142135623730951</x:v>
      </x:c>
      <x:c r="W102" s="365" t="n">
        <x:f>IF(A102="","",SQRT(T102^2+U102^2))</x:f>
        <x:v>0.8090297042759105</x:v>
      </x:c>
      <x:c r="X102" s="365" t="n">
        <x:f>IF(A102="","",SQRT(T102^2+2*U102^2))</x:f>
        <x:v>0.951067328006155</x:v>
      </x:c>
      <x:c r="Y102" s="127"/>
      <x:c r="Z102" s="127"/>
      <x:c r="AA102" s="127"/>
      <x:c r="AB102" s="127"/>
      <x:c r="AC102" s="127"/>
      <x:c r="AD102" s="127"/>
      <x:c r="AE102" s="127"/>
      <x:c r="AF102" s="127"/>
      <x:c r="AG102" s="127"/>
      <x:c r="AH102" s="127"/>
      <x:c r="AI102" s="127"/>
      <x:c r="AJ102" s="127"/>
      <x:c r="AK102" s="127"/>
      <x:c r="AL102" s="127"/>
    </x:row>
    <x:row r="103">
      <x:c r="A103" s="367" t="n">
        <x:f>IF(A102="","",IF(A102+'00_Start'!$B$12&lt;='00_Start'!$B$11,A102+'00_Start'!$B$12,""))</x:f>
        <x:v>51.82850000000023</x:v>
      </x:c>
      <x:c r="B103" s="367" t="n">
        <x:f>IF(A103="","",2/TAN(RADIANS(A103)))</x:f>
        <x:v>1.5722345498217802</x:v>
      </x:c>
      <x:c r="C103" s="369" t="n">
        <x:f>IF($A103="","",ABS(2/T103-'02_Constants'!$D$6)/'02_Constants'!$D$6)</x:f>
        <x:v>0.0009156012159885011</x:v>
      </x:c>
      <x:c r="D103" s="369" t="n">
        <x:f>IF($A103="","",ABS(2/(T103+2*V103)-'02_Constants'!$D$7)/'02_Constants'!$D$7)</x:f>
        <x:v>0.00012841485706050905</x:v>
      </x:c>
      <x:c r="E103" s="369" t="n">
        <x:f>IF($A103="","",ABS((T103+2*V103)/2-'02_Constants'!$D$8)/'02_Constants'!$D$8)</x:f>
        <x:v>0.0001047675227450232</x:v>
      </x:c>
      <x:c r="F103" s="369" t="n">
        <x:f>IF($A103="","",ABS((T103+2*V103)/V103-'02_Constants'!$D$9)/'02_Constants'!$D$9)</x:f>
        <x:v>0.00010476752274493577</x:v>
      </x:c>
      <x:c r="G103" s="369" t="n">
        <x:f>IF($A103="","",ABS(V103-'02_Constants'!$D$10)/'02_Constants'!$D$10)</x:f>
        <x:v>0</x:v>
      </x:c>
      <x:c r="H103" s="369" t="n">
        <x:f>IF($A103="","",ABS((W103+1)/W103-'02_Constants'!$D$11)/'02_Constants'!$D$11)</x:f>
        <x:v>0.000014820571736969333</x:v>
      </x:c>
      <x:c r="I103" s="369" t="n">
        <x:f>IF($A103="","",ABS((U103+2*V103)/(W103+1)-'02_Constants'!$D$12)/'02_Constants'!$D$12)</x:f>
        <x:v>0.00032645627457867277</x:v>
      </x:c>
      <x:c r="J103" s="369" t="n">
        <x:f>IF($A103="","",ABS(X103/U103-'02_Constants'!$D$13)/'02_Constants'!$D$13)</x:f>
        <x:v>0.000005597672206028349</x:v>
      </x:c>
      <x:c r="K103" s="369" t="n">
        <x:f>IF($A103="","",ABS(W103/(W103+U103)-'02_Constants'!$D$14)/'02_Constants'!$D$14)</x:f>
        <x:v>0.000010240868078106266</x:v>
      </x:c>
      <x:c r="L103" s="369" t="n">
        <x:f>IF($A103="","",ABS(W103/U103-'02_Constants'!$D$15)/'02_Constants'!$D$15)</x:f>
        <x:v>0.00002681138496936614</x:v>
      </x:c>
      <x:c r="M103" s="369" t="n">
        <x:f>IF($A103="","",ABS(2*A103/(90-A103)-'02_Constants'!$D$16)/'02_Constants'!$D$16)</x:f>
        <x:v>0.0010012906616558084</x:v>
      </x:c>
      <x:c r="N103" s="369" t="n">
        <x:f>IF($A103="","",ABS(2*A103/(90-A103)-1-'02_Constants'!$D$17)/'02_Constants'!$D$17)</x:f>
        <x:v>0.001584018503545265</x:v>
      </x:c>
      <x:c r="O103" s="369" t="n">
        <x:f>IF(A103="","",AVERAGE(C103:N103))</x:f>
        <x:v>0.0003518989212757655</x:v>
      </x:c>
      <x:c r="P103" s="369" t="n">
        <x:f>IF(A103="","",SUMPRODUCT(C103:N103,'03_12_Errors'!$P$4:$AA$4)/SUM('03_12_Errors'!$P$4:$AA$4))</x:f>
        <x:v>0.0004450417757475627</x:v>
      </x:c>
      <x:c r="Q103" s="369" t="n">
        <x:f>IF(A103="","",SQRT(SUMSQ(C103:N103)/12))</x:f>
        <x:v>0.0006121080001931939</x:v>
      </x:c>
      <x:c r="R103" s="369" t="n">
        <x:f>IF(A103="","",MAX(C103:N103))</x:f>
        <x:v>0.001584018503545265</x:v>
      </x:c>
      <x:c r="S103" s="390" t="n">
        <x:f>IF(A103="","",COUNTIF(C103:N103,"&lt;="&amp;'00_Start'!$B$7))</x:f>
        <x:v>10</x:v>
      </x:c>
      <x:c r="T103" s="365" t="n">
        <x:f>IF(A103="","",0.5*TAN(RADIANS(A103)))</x:f>
        <x:v>0.636037415736319</x:v>
      </x:c>
      <x:c r="U103" s="365" t="n">
        <x:f>IF(A103="","",0.5)</x:f>
        <x:v>0.5</x:v>
      </x:c>
      <x:c r="V103" s="365" t="n">
        <x:f>IF(A103="","",SQRT(2))</x:f>
        <x:v>1.4142135623730951</x:v>
      </x:c>
      <x:c r="W103" s="365" t="n">
        <x:f>IF(A103="","",SQRT(T103^2+U103^2))</x:f>
        <x:v>0.8090386852410304</x:v>
      </x:c>
      <x:c r="X103" s="365" t="n">
        <x:f>IF(A103="","",SQRT(T103^2+2*U103^2))</x:f>
        <x:v>0.9510749677162863</x:v>
      </x:c>
      <x:c r="Y103" s="127"/>
      <x:c r="Z103" s="127"/>
      <x:c r="AA103" s="127"/>
      <x:c r="AB103" s="127"/>
      <x:c r="AC103" s="127"/>
      <x:c r="AD103" s="127"/>
      <x:c r="AE103" s="127"/>
      <x:c r="AF103" s="127"/>
      <x:c r="AG103" s="127"/>
      <x:c r="AH103" s="127"/>
      <x:c r="AI103" s="127"/>
      <x:c r="AJ103" s="127"/>
      <x:c r="AK103" s="127"/>
      <x:c r="AL103" s="127"/>
    </x:row>
    <x:row r="104">
      <x:c r="A104" s="367" t="n">
        <x:f>IF(A103="","",IF(A103+'00_Start'!$B$12&lt;='00_Start'!$B$11,A103+'00_Start'!$B$12,""))</x:f>
        <x:v>51.829000000000235</x:v>
      </x:c>
      <x:c r="B104" s="367" t="n">
        <x:f>IF(A104="","",2/TAN(RADIANS(A104)))</x:f>
        <x:v>1.5722063109308153</x:v>
      </x:c>
      <x:c r="C104" s="369" t="n">
        <x:f>IF($A104="","",ABS(2/T104-'02_Constants'!$D$6)/'02_Constants'!$D$6)</x:f>
        <x:v>0.0008976237796504965</x:v>
      </x:c>
      <x:c r="D104" s="369" t="n">
        <x:f>IF($A104="","",ABS(2/(T104+2*V104)-'02_Constants'!$D$7)/'02_Constants'!$D$7)</x:f>
        <x:v>0.00012511694569613668</x:v>
      </x:c>
      <x:c r="E104" s="369" t="n">
        <x:f>IF($A104="","",ABS((T104+2*V104)/2-'02_Constants'!$D$8)/'02_Constants'!$D$8)</x:f>
        <x:v>0.00010806536700717441</x:v>
      </x:c>
      <x:c r="F104" s="369" t="n">
        <x:f>IF($A104="","",ABS((T104+2*V104)/V104-'02_Constants'!$D$9)/'02_Constants'!$D$9)</x:f>
        <x:v>0.00010806536700719188</x:v>
      </x:c>
      <x:c r="G104" s="369" t="n">
        <x:f>IF($A104="","",ABS(V104-'02_Constants'!$D$10)/'02_Constants'!$D$10)</x:f>
        <x:v>0</x:v>
      </x:c>
      <x:c r="H104" s="369" t="n">
        <x:f>IF($A104="","",ABS((W104+1)/W104-'02_Constants'!$D$11)/'02_Constants'!$D$11)</x:f>
        <x:v>0.00002095688088007062</x:v>
      </x:c>
      <x:c r="I104" s="369" t="n">
        <x:f>IF($A104="","",ABS((U104+2*V104)/(W104+1)-'02_Constants'!$D$12)/'02_Constants'!$D$12)</x:f>
        <x:v>0.0003214900383244461</x:v>
      </x:c>
      <x:c r="J104" s="369" t="n">
        <x:f>IF($A104="","",ABS(X104/U104-'02_Constants'!$D$13)/'02_Constants'!$D$13)</x:f>
        <x:v>0.0000024352516894129673</x:v>
      </x:c>
      <x:c r="K104" s="369" t="n">
        <x:f>IF($A104="","",ABS(W104/(W104+U104)-'02_Constants'!$D$14)/'02_Constants'!$D$14)</x:f>
        <x:v>0.000014481058236927005</x:v>
      </x:c>
      <x:c r="L104" s="369" t="n">
        <x:f>IF($A104="","",ABS(W104/U104-'02_Constants'!$D$15)/'02_Constants'!$D$15)</x:f>
        <x:v>0.000037912790986273603</x:v>
      </x:c>
      <x:c r="M104" s="369" t="n">
        <x:f>IF($A104="","",ABS(2*A104/(90-A104)-'02_Constants'!$D$16)/'02_Constants'!$D$16)</x:f>
        <x:v>0.0009785671596296132</x:v>
      </x:c>
      <x:c r="N104" s="369" t="n">
        <x:f>IF($A104="","",ABS(2*A104/(90-A104)-1-'02_Constants'!$D$17)/'02_Constants'!$D$17)</x:f>
        <x:v>0.0015480704526413258</x:v>
      </x:c>
      <x:c r="O104" s="369" t="n">
        <x:f>IF(A104="","",AVERAGE(C104:N104))</x:f>
        <x:v>0.00034689875764575576</x:v>
      </x:c>
      <x:c r="P104" s="369" t="n">
        <x:f>IF(A104="","",SUMPRODUCT(C104:N104,'03_12_Errors'!$P$4:$AA$4)/SUM('03_12_Errors'!$P$4:$AA$4))</x:f>
        <x:v>0.0004371778909562916</x:v>
      </x:c>
      <x:c r="Q104" s="369" t="n">
        <x:f>IF(A104="","",SQRT(SUMSQ(C104:N104)/12))</x:f>
        <x:v>0.0005989089250497352</x:v>
      </x:c>
      <x:c r="R104" s="369" t="n">
        <x:f>IF(A104="","",MAX(C104:N104))</x:f>
        <x:v>0.0015480704526413258</x:v>
      </x:c>
      <x:c r="S104" s="390" t="n">
        <x:f>IF(A104="","",COUNTIF(C104:N104,"&lt;="&amp;'00_Start'!$B$7))</x:f>
        <x:v>11</x:v>
      </x:c>
      <x:c r="T104" s="365" t="n">
        <x:f>IF(A104="","",0.5*TAN(RADIANS(A104)))</x:f>
        <x:v>0.6360488398039542</x:v>
      </x:c>
      <x:c r="U104" s="365" t="n">
        <x:f>IF(A104="","",0.5)</x:f>
        <x:v>0.5</x:v>
      </x:c>
      <x:c r="V104" s="365" t="n">
        <x:f>IF(A104="","",SQRT(2))</x:f>
        <x:v>1.4142135623730951</x:v>
      </x:c>
      <x:c r="W104" s="365" t="n">
        <x:f>IF(A104="","",SQRT(T104^2+U104^2))</x:f>
        <x:v>0.8090476664671595</x:v>
      </x:c>
      <x:c r="X104" s="365" t="n">
        <x:f>IF(A104="","",SQRT(T104^2+2*U104^2))</x:f>
        <x:v>0.9510826076718868</x:v>
      </x:c>
      <x:c r="Y104" s="127"/>
      <x:c r="Z104" s="127"/>
      <x:c r="AA104" s="127"/>
      <x:c r="AB104" s="127"/>
      <x:c r="AC104" s="127"/>
      <x:c r="AD104" s="127"/>
      <x:c r="AE104" s="127"/>
      <x:c r="AF104" s="127"/>
      <x:c r="AG104" s="127"/>
      <x:c r="AH104" s="127"/>
      <x:c r="AI104" s="127"/>
      <x:c r="AJ104" s="127"/>
      <x:c r="AK104" s="127"/>
      <x:c r="AL104" s="127"/>
    </x:row>
    <x:row r="105">
      <x:c r="A105" s="367" t="n">
        <x:f>IF(A104="","",IF(A104+'00_Start'!$B$12&lt;='00_Start'!$B$11,A104+'00_Start'!$B$12,""))</x:f>
        <x:v>51.82950000000024</x:v>
      </x:c>
      <x:c r="B105" s="367" t="n">
        <x:f>IF(A105="","",2/TAN(RADIANS(A105)))</x:f>
        <x:v>1.572178072427288</x:v>
      </x:c>
      <x:c r="C105" s="369" t="n">
        <x:f>IF($A105="","",ABS(2/T105-'02_Constants'!$D$6)/'02_Constants'!$D$6)</x:f>
        <x:v>0.0008796465899629525</x:v>
      </x:c>
      <x:c r="D105" s="369" t="n">
        <x:f>IF($A105="","",ABS(2/(T105+2*V105)-'02_Constants'!$D$7)/'02_Constants'!$D$7)</x:f>
        <x:v>0.00012181898286012889</x:v>
      </x:c>
      <x:c r="E105" s="369" t="n">
        <x:f>IF($A105="","",ABS((T105+2*V105)/2-'02_Constants'!$D$8)/'02_Constants'!$D$8)</x:f>
        <x:v>0.00011136328448997585</x:v>
      </x:c>
      <x:c r="F105" s="369" t="n">
        <x:f>IF($A105="","",ABS((T105+2*V105)/V105-'02_Constants'!$D$9)/'02_Constants'!$D$9)</x:f>
        <x:v>0.00011136328448999421</x:v>
      </x:c>
      <x:c r="G105" s="369" t="n">
        <x:f>IF($A105="","",ABS(V105-'02_Constants'!$D$10)/'02_Constants'!$D$10)</x:f>
        <x:v>0</x:v>
      </x:c>
      <x:c r="H105" s="369" t="n">
        <x:f>IF($A105="","",ABS((W105+1)/W105-'02_Constants'!$D$11)/'02_Constants'!$D$11)</x:f>
        <x:v>0.00002709323211860983</x:v>
      </x:c>
      <x:c r="I105" s="369" t="n">
        <x:f>IF($A105="","",ABS((U105+2*V105)/(W105+1)-'02_Constants'!$D$12)/'02_Constants'!$D$12)</x:f>
        <x:v>0.00031652370705066946</x:v>
      </x:c>
      <x:c r="J105" s="369" t="n">
        <x:f>IF($A105="","",ABS(X105/U105-'02_Constants'!$D$13)/'02_Constants'!$D$13)</x:f>
        <x:v>0.000010468433690383004</x:v>
      </x:c>
      <x:c r="K105" s="369" t="n">
        <x:f>IF($A105="","",ABS(W105/(W105+U105)-'02_Constants'!$D$14)/'02_Constants'!$D$14)</x:f>
        <x:v>0.000018721313442436813</x:v>
      </x:c>
      <x:c r="L105" s="369" t="n">
        <x:f>IF($A105="","",ABS(W105/U105-'02_Constants'!$D$15)/'02_Constants'!$D$15)</x:f>
        <x:v>0.000049014519640526194</x:v>
      </x:c>
      <x:c r="M105" s="369" t="n">
        <x:f>IF($A105="","",ABS(2*A105/(90-A105)-'02_Constants'!$D$16)/'02_Constants'!$D$16)</x:f>
        <x:v>0.0009558430622875845</x:v>
      </x:c>
      <x:c r="N105" s="369" t="n">
        <x:f>IF($A105="","",ABS(2*A105/(90-A105)-1-'02_Constants'!$D$17)/'02_Constants'!$D$17)</x:f>
        <x:v>0.0015121214599616054</x:v>
      </x:c>
      <x:c r="O105" s="369" t="n">
        <x:f>IF(A105="","",AVERAGE(C105:N105))</x:f>
        <x:v>0.00034283148916623897</x:v>
      </x:c>
      <x:c r="P105" s="369" t="n">
        <x:f>IF(A105="","",SUMPRODUCT(C105:N105,'03_12_Errors'!$P$4:$AA$4)/SUM('03_12_Errors'!$P$4:$AA$4))</x:f>
        <x:v>0.0004311798662515263</x:v>
      </x:c>
      <x:c r="Q105" s="369" t="n">
        <x:f>IF(A105="","",SQRT(SUMSQ(C105:N105)/12))</x:f>
        <x:v>0.0005857582421280493</x:v>
      </x:c>
      <x:c r="R105" s="369" t="n">
        <x:f>IF(A105="","",MAX(C105:N105))</x:f>
        <x:v>0.0015121214599616054</x:v>
      </x:c>
      <x:c r="S105" s="390" t="n">
        <x:f>IF(A105="","",COUNTIF(C105:N105,"&lt;="&amp;'00_Start'!$B$7))</x:f>
        <x:v>11</x:v>
      </x:c>
      <x:c r="T105" s="365" t="n">
        <x:f>IF(A105="","",0.5*TAN(RADIANS(A105)))</x:f>
        <x:v>0.6360602641252326</x:v>
      </x:c>
      <x:c r="U105" s="365" t="n">
        <x:f>IF(A105="","",0.5)</x:f>
        <x:v>0.5</x:v>
      </x:c>
      <x:c r="V105" s="365" t="n">
        <x:f>IF(A105="","",SQRT(2))</x:f>
        <x:v>1.4142135623730951</x:v>
      </x:c>
      <x:c r="W105" s="365" t="n">
        <x:f>IF(A105="","",SQRT(T105^2+U105^2))</x:f>
        <x:v>0.8090566479543078</x:v>
      </x:c>
      <x:c r="X105" s="365" t="n">
        <x:f>IF(A105="","",SQRT(T105^2+2*U105^2))</x:f>
        <x:v>0.9510902478729664</x:v>
      </x:c>
      <x:c r="Y105" s="127"/>
      <x:c r="Z105" s="127"/>
      <x:c r="AA105" s="127"/>
      <x:c r="AB105" s="127"/>
      <x:c r="AC105" s="127"/>
      <x:c r="AD105" s="127"/>
      <x:c r="AE105" s="127"/>
      <x:c r="AF105" s="127"/>
      <x:c r="AG105" s="127"/>
      <x:c r="AH105" s="127"/>
      <x:c r="AI105" s="127"/>
      <x:c r="AJ105" s="127"/>
      <x:c r="AK105" s="127"/>
      <x:c r="AL105" s="127"/>
    </x:row>
    <x:row r="106">
      <x:c r="A106" s="367" t="n">
        <x:f>IF(A105="","",IF(A105+'00_Start'!$B$12&lt;='00_Start'!$B$11,A105+'00_Start'!$B$12,""))</x:f>
        <x:v>51.83000000000024</x:v>
      </x:c>
      <x:c r="B106" s="367" t="n">
        <x:f>IF(A106="","",2/TAN(RADIANS(A106)))</x:f>
        <x:v>1.5721498343111855</x:v>
      </x:c>
      <x:c r="C106" s="369" t="n">
        <x:f>IF($A106="","",ABS(2/T106-'02_Constants'!$D$6)/'02_Constants'!$D$6)</x:f>
        <x:v>0.0008616696469176704</x:v>
      </x:c>
      <x:c r="D106" s="369" t="n">
        <x:f>IF($A106="","",ABS(2/(T106+2*V106)-'02_Constants'!$D$7)/'02_Constants'!$D$7)</x:f>
        <x:v>0.00011852096855056225</x:v>
      </x:c>
      <x:c r="E106" s="369" t="n">
        <x:f>IF($A106="","",ABS((T106+2*V106)/2-'02_Constants'!$D$8)/'02_Constants'!$D$8)</x:f>
        <x:v>0.00011466127519611963</x:v>
      </x:c>
      <x:c r="F106" s="369" t="n">
        <x:f>IF($A106="","",ABS((T106+2*V106)/V106-'02_Constants'!$D$9)/'02_Constants'!$D$9)</x:f>
        <x:v>0.00011466127519606222</x:v>
      </x:c>
      <x:c r="G106" s="369" t="n">
        <x:f>IF($A106="","",ABS(V106-'02_Constants'!$D$10)/'02_Constants'!$D$10)</x:f>
        <x:v>0</x:v>
      </x:c>
      <x:c r="H106" s="369" t="n">
        <x:f>IF($A106="","",ABS((W106+1)/W106-'02_Constants'!$D$11)/'02_Constants'!$D$11)</x:f>
        <x:v>0.000033229625452388364</x:v>
      </x:c>
      <x:c r="I106" s="369" t="n">
        <x:f>IF($A106="","",ABS((U106+2*V106)/(W106+1)-'02_Constants'!$D$12)/'02_Constants'!$D$12)</x:f>
        <x:v>0.00031155728075504894</x:v>
      </x:c>
      <x:c r="J106" s="369" t="n">
        <x:f>IF($A106="","",ABS(X106/U106-'02_Constants'!$D$13)/'02_Constants'!$D$13)</x:f>
        <x:v>0.000018501873807737916</x:v>
      </x:c>
      <x:c r="K106" s="369" t="n">
        <x:f>IF($A106="","",ABS(W106/(W106+U106)-'02_Constants'!$D$14)/'02_Constants'!$D$14)</x:f>
        <x:v>0.00002296163369535424</x:v>
      </x:c>
      <x:c r="L106" s="369" t="n">
        <x:f>IF($A106="","",ABS(W106/U106-'02_Constants'!$D$15)/'02_Constants'!$D$15)</x:f>
        <x:v>0.000060116570944886406</x:v>
      </x:c>
      <x:c r="M106" s="369" t="n">
        <x:f>IF($A106="","",ABS(2*A106/(90-A106)-'02_Constants'!$D$16)/'02_Constants'!$D$16)</x:f>
        <x:v>0.0009331183696061972</x:v>
      </x:c>
      <x:c r="N106" s="369" t="n">
        <x:f>IF($A106="","",ABS(2*A106/(90-A106)-1-'02_Constants'!$D$17)/'02_Constants'!$D$17)</x:f>
        <x:v>0.001476171525468887</x:v>
      </x:c>
      <x:c r="O106" s="369" t="n">
        <x:f>IF(A106="","",AVERAGE(C106:N106))</x:f>
        <x:v>0.00033876417046590953</x:v>
      </x:c>
      <x:c r="P106" s="369" t="n">
        <x:f>IF(A106="","",SUMPRODUCT(C106:N106,'03_12_Errors'!$P$4:$AA$4)/SUM('03_12_Errors'!$P$4:$AA$4))</x:f>
        <x:v>0.0004251818108938541</x:v>
      </x:c>
      <x:c r="Q106" s="369" t="n">
        <x:f>IF(A106="","",SQRT(SUMSQ(C106:N106)/12))</x:f>
        <x:v>0.0005726593072400579</x:v>
      </x:c>
      <x:c r="R106" s="369" t="n">
        <x:f>IF(A106="","",MAX(C106:N106))</x:f>
        <x:v>0.001476171525468887</x:v>
      </x:c>
      <x:c r="S106" s="390" t="n">
        <x:f>IF(A106="","",COUNTIF(C106:N106,"&lt;="&amp;'00_Start'!$B$7))</x:f>
        <x:v>11</x:v>
      </x:c>
      <x:c r="T106" s="365" t="n">
        <x:f>IF(A106="","",0.5*TAN(RADIANS(A106)))</x:f>
        <x:v>0.6360716887001647</x:v>
      </x:c>
      <x:c r="U106" s="365" t="n">
        <x:f>IF(A106="","",0.5)</x:f>
        <x:v>0.5</x:v>
      </x:c>
      <x:c r="V106" s="365" t="n">
        <x:f>IF(A106="","",SQRT(2))</x:f>
        <x:v>1.4142135623730951</x:v>
      </x:c>
      <x:c r="W106" s="365" t="n">
        <x:f>IF(A106="","",SQRT(T106^2+U106^2))</x:f>
        <x:v>0.8090656297024854</x:v>
      </x:c>
      <x:c r="X106" s="365" t="n">
        <x:f>IF(A106="","",SQRT(T106^2+2*U106^2))</x:f>
        <x:v>0.9510978883195353</x:v>
      </x:c>
      <x:c r="Y106" s="127"/>
      <x:c r="Z106" s="127"/>
      <x:c r="AA106" s="127"/>
      <x:c r="AB106" s="127"/>
      <x:c r="AC106" s="127"/>
      <x:c r="AD106" s="127"/>
      <x:c r="AE106" s="127"/>
      <x:c r="AF106" s="127"/>
      <x:c r="AG106" s="127"/>
      <x:c r="AH106" s="127"/>
      <x:c r="AI106" s="127"/>
      <x:c r="AJ106" s="127"/>
      <x:c r="AK106" s="127"/>
      <x:c r="AL106" s="127"/>
    </x:row>
    <x:row r="107">
      <x:c r="A107" s="367" t="n">
        <x:f>IF(A106="","",IF(A106+'00_Start'!$B$12&lt;='00_Start'!$B$11,A106+'00_Start'!$B$12,""))</x:f>
        <x:v>51.83050000000024</x:v>
      </x:c>
      <x:c r="B107" s="367" t="n">
        <x:f>IF(A107="","",2/TAN(RADIANS(A107)))</x:f>
        <x:v>1.5721215965824964</x:v>
      </x:c>
      <x:c r="C107" s="369" t="n">
        <x:f>IF($A107="","",ABS(2/T107-'02_Constants'!$D$6)/'02_Constants'!$D$6)</x:f>
        <x:v>0.0008436929505074408</x:v>
      </x:c>
      <x:c r="D107" s="369" t="n">
        <x:f>IF($A107="","",ABS(2/(T107+2*V107)-'02_Constants'!$D$7)/'02_Constants'!$D$7)</x:f>
        <x:v>0.00011522290276589804</x:v>
      </x:c>
      <x:c r="E107" s="369" t="n">
        <x:f>IF($A107="","",ABS((T107+2*V107)/2-'02_Constants'!$D$8)/'02_Constants'!$D$8)</x:f>
        <x:v>0.00011795933912868252</x:v>
      </x:c>
      <x:c r="F107" s="369" t="n">
        <x:f>IF($A107="","",ABS((T107+2*V107)/V107-'02_Constants'!$D$9)/'02_Constants'!$D$9)</x:f>
        <x:v>0.00011795933912865932</x:v>
      </x:c>
      <x:c r="G107" s="369" t="n">
        <x:f>IF($A107="","",ABS(V107-'02_Constants'!$D$10)/'02_Constants'!$D$10)</x:f>
        <x:v>0</x:v>
      </x:c>
      <x:c r="H107" s="369" t="n">
        <x:f>IF($A107="","",ABS((W107+1)/W107-'02_Constants'!$D$11)/'02_Constants'!$D$11)</x:f>
        <x:v>0.00003936606088061181</x:v>
      </x:c>
      <x:c r="I107" s="369" t="n">
        <x:f>IF($A107="","",ABS((U107+2*V107)/(W107+1)-'02_Constants'!$D$12)/'02_Constants'!$D$12)</x:f>
        <x:v>0.0003065907594357738</x:v>
      </x:c>
      <x:c r="J107" s="369" t="n">
        <x:f>IF($A107="","",ABS(X107/U107-'02_Constants'!$D$13)/'02_Constants'!$D$13)</x:f>
        <x:v>0.00002653557205163346</x:v>
      </x:c>
      <x:c r="K107" s="369" t="n">
        <x:f>IF($A107="","",ABS(W107/(W107+U107)-'02_Constants'!$D$14)/'02_Constants'!$D$14)</x:f>
        <x:v>0.000027202018996577475</x:v>
      </x:c>
      <x:c r="L107" s="369" t="n">
        <x:f>IF($A107="","",ABS(W107/U107-'02_Constants'!$D$15)/'02_Constants'!$D$15)</x:f>
        <x:v>0.00007121894491143058</x:v>
      </x:c>
      <x:c r="M107" s="369" t="n">
        <x:f>IF($A107="","",ABS(2*A107/(90-A107)-'02_Constants'!$D$16)/'02_Constants'!$D$16)</x:f>
        <x:v>0.0009103930815624159</x:v>
      </x:c>
      <x:c r="N107" s="369" t="n">
        <x:f>IF($A107="","",ABS(2*A107/(90-A107)-1-'02_Constants'!$D$17)/'02_Constants'!$D$17)</x:f>
        <x:v>0.0014402206491267288</x:v>
      </x:c>
      <x:c r="O107" s="369" t="n">
        <x:f>IF(A107="","",AVERAGE(C107:N107))</x:f>
        <x:v>0.0003346968015413211</x:v>
      </x:c>
      <x:c r="P107" s="369" t="n">
        <x:f>IF(A107="","",SUMPRODUCT(C107:N107,'03_12_Errors'!$P$4:$AA$4)/SUM('03_12_Errors'!$P$4:$AA$4))</x:f>
        <x:v>0.0004191837248794513</x:v>
      </x:c>
      <x:c r="Q107" s="369" t="n">
        <x:f>IF(A107="","",SQRT(SUMSQ(C107:N107)/12))</x:f>
        <x:v>0.0005596157766433278</x:v>
      </x:c>
      <x:c r="R107" s="369" t="n">
        <x:f>IF(A107="","",MAX(C107:N107))</x:f>
        <x:v>0.0014402206491267288</x:v>
      </x:c>
      <x:c r="S107" s="390" t="n">
        <x:f>IF(A107="","",COUNTIF(C107:N107,"&lt;="&amp;'00_Start'!$B$7))</x:f>
        <x:v>11</x:v>
      </x:c>
      <x:c r="T107" s="365" t="n">
        <x:f>IF(A107="","",0.5*TAN(RADIANS(A107)))</x:f>
        <x:v>0.6360831135287603</x:v>
      </x:c>
      <x:c r="U107" s="365" t="n">
        <x:f>IF(A107="","",0.5)</x:f>
        <x:v>0.5</x:v>
      </x:c>
      <x:c r="V107" s="365" t="n">
        <x:f>IF(A107="","",SQRT(2))</x:f>
        <x:v>1.4142135623730951</x:v>
      </x:c>
      <x:c r="W107" s="365" t="n">
        <x:f>IF(A107="","",SQRT(T107^2+U107^2))</x:f>
        <x:v>0.8090746117117023</x:v>
      </x:c>
      <x:c r="X107" s="365" t="n">
        <x:f>IF(A107="","",SQRT(T107^2+2*U107^2))</x:f>
        <x:v>0.9511055290116034</x:v>
      </x:c>
      <x:c r="Y107" s="127"/>
      <x:c r="Z107" s="127"/>
      <x:c r="AA107" s="127"/>
      <x:c r="AB107" s="127"/>
      <x:c r="AC107" s="127"/>
      <x:c r="AD107" s="127"/>
      <x:c r="AE107" s="127"/>
      <x:c r="AF107" s="127"/>
      <x:c r="AG107" s="127"/>
      <x:c r="AH107" s="127"/>
      <x:c r="AI107" s="127"/>
      <x:c r="AJ107" s="127"/>
      <x:c r="AK107" s="127"/>
      <x:c r="AL107" s="127"/>
    </x:row>
    <x:row r="108">
      <x:c r="A108" s="367" t="n">
        <x:f>IF(A107="","",IF(A107+'00_Start'!$B$12&lt;='00_Start'!$B$11,A107+'00_Start'!$B$12,""))</x:f>
        <x:v>51.831000000000245</x:v>
      </x:c>
      <x:c r="B108" s="367" t="n">
        <x:f>IF(A108="","",2/TAN(RADIANS(A108)))</x:f>
        <x:v>1.5720933592412072</x:v>
      </x:c>
      <x:c r="C108" s="369" t="n">
        <x:f>IF($A108="","",ABS(2/T108-'02_Constants'!$D$6)/'02_Constants'!$D$6)</x:f>
        <x:v>0.000825716500723641</x:v>
      </x:c>
      <x:c r="D108" s="369" t="n">
        <x:f>IF($A108="","",ABS(2/(T108+2*V108)-'02_Constants'!$D$7)/'02_Constants'!$D$7)</x:f>
        <x:v>0.00011192478550440517</x:v>
      </x:c>
      <x:c r="E108" s="369" t="n">
        <x:f>IF($A108="","",ABS((T108+2*V108)/2-'02_Constants'!$D$8)/'02_Constants'!$D$8)</x:f>
        <x:v>0.00012125747629061304</x:v>
      </x:c>
      <x:c r="F108" s="369" t="n">
        <x:f>IF($A108="","",ABS((T108+2*V108)/V108-'02_Constants'!$D$9)/'02_Constants'!$D$9)</x:f>
        <x:v>0.00012125747629050496</x:v>
      </x:c>
      <x:c r="G108" s="369" t="n">
        <x:f>IF($A108="","",ABS(V108-'02_Constants'!$D$10)/'02_Constants'!$D$10)</x:f>
        <x:v>0</x:v>
      </x:c>
      <x:c r="H108" s="369" t="n">
        <x:f>IF($A108="","",ABS((W108+1)/W108-'02_Constants'!$D$11)/'02_Constants'!$D$11)</x:f>
        <x:v>0.000045502538403081564</x:v>
      </x:c>
      <x:c r="I108" s="369" t="n">
        <x:f>IF($A108="","",ABS((U108+2*V108)/(W108+1)-'02_Constants'!$D$12)/'02_Constants'!$D$12)</x:f>
        <x:v>0.000301624143090671</x:v>
      </x:c>
      <x:c r="J108" s="369" t="n">
        <x:f>IF($A108="","",ABS(X108/U108-'02_Constants'!$D$13)/'02_Constants'!$D$13)</x:f>
        <x:v>0.000034569528432809053</x:v>
      </x:c>
      <x:c r="K108" s="369" t="n">
        <x:f>IF($A108="","",ABS(W108/(W108+U108)-'02_Constants'!$D$14)/'02_Constants'!$D$14)</x:f>
        <x:v>0.000031442469347004704</x:v>
      </x:c>
      <x:c r="L108" s="369" t="n">
        <x:f>IF($A108="","",ABS(W108/U108-'02_Constants'!$D$15)/'02_Constants'!$D$15)</x:f>
        <x:v>0.00008232164155305843</x:v>
      </x:c>
      <x:c r="M108" s="369" t="n">
        <x:f>IF($A108="","",ABS(2*A108/(90-A108)-'02_Constants'!$D$16)/'02_Constants'!$D$16)</x:f>
        <x:v>0.0008876671981325517</x:v>
      </x:c>
      <x:c r="N108" s="369" t="n">
        <x:f>IF($A108="","",ABS(2*A108/(90-A108)-1-'02_Constants'!$D$17)/'02_Constants'!$D$17)</x:f>
        <x:v>0.001404268830897656</x:v>
      </x:c>
      <x:c r="O108" s="369" t="n">
        <x:f>IF(A108="","",AVERAGE(C108:N108))</x:f>
        <x:v>0.0003306293823888331</x:v>
      </x:c>
      <x:c r="P108" s="369" t="n">
        <x:f>IF(A108="","",SUMPRODUCT(C108:N108,'03_12_Errors'!$P$4:$AA$4)/SUM('03_12_Errors'!$P$4:$AA$4))</x:f>
        <x:v>0.0004131856082041858</x:v>
      </x:c>
      <x:c r="Q108" s="369" t="n">
        <x:f>IF(A108="","",SQRT(SUMSQ(C108:N108)/12))</x:f>
        <x:v>0.0005466316394444234</x:v>
      </x:c>
      <x:c r="R108" s="369" t="n">
        <x:f>IF(A108="","",MAX(C108:N108))</x:f>
        <x:v>0.001404268830897656</x:v>
      </x:c>
      <x:c r="S108" s="390" t="n">
        <x:f>IF(A108="","",COUNTIF(C108:N108,"&lt;="&amp;'00_Start'!$B$7))</x:f>
        <x:v>11</x:v>
      </x:c>
      <x:c r="T108" s="365" t="n">
        <x:f>IF(A108="","",0.5*TAN(RADIANS(A108)))</x:f>
        <x:v>0.63609453861103</x:v>
      </x:c>
      <x:c r="U108" s="365" t="n">
        <x:f>IF(A108="","",0.5)</x:f>
        <x:v>0.5</x:v>
      </x:c>
      <x:c r="V108" s="365" t="n">
        <x:f>IF(A108="","",SQRT(2))</x:f>
        <x:v>1.4142135623730951</x:v>
      </x:c>
      <x:c r="W108" s="365" t="n">
        <x:f>IF(A108="","",SQRT(T108^2+U108^2))</x:f>
        <x:v>0.8090835939819687</x:v>
      </x:c>
      <x:c r="X108" s="365" t="n">
        <x:f>IF(A108="","",SQRT(T108^2+2*U108^2))</x:f>
        <x:v>0.9511131699491807</x:v>
      </x:c>
      <x:c r="Y108" s="127"/>
      <x:c r="Z108" s="127"/>
      <x:c r="AA108" s="127"/>
      <x:c r="AB108" s="127"/>
      <x:c r="AC108" s="127"/>
      <x:c r="AD108" s="127"/>
      <x:c r="AE108" s="127"/>
      <x:c r="AF108" s="127"/>
      <x:c r="AG108" s="127"/>
      <x:c r="AH108" s="127"/>
      <x:c r="AI108" s="127"/>
      <x:c r="AJ108" s="127"/>
      <x:c r="AK108" s="127"/>
      <x:c r="AL108" s="127"/>
    </x:row>
    <x:row r="109">
      <x:c r="A109" s="367" t="n">
        <x:f>IF(A108="","",IF(A108+'00_Start'!$B$12&lt;='00_Start'!$B$11,A108+'00_Start'!$B$12,""))</x:f>
        <x:v>51.83150000000025</x:v>
      </x:c>
      <x:c r="B109" s="367" t="n">
        <x:f>IF(A109="","",2/TAN(RADIANS(A109)))</x:f>
        <x:v>1.5720651222873063</x:v>
      </x:c>
      <x:c r="C109" s="369" t="n">
        <x:f>IF($A109="","",ABS(2/T109-'02_Constants'!$D$6)/'02_Constants'!$D$6)</x:f>
        <x:v>0.0008077402975589204</x:v>
      </x:c>
      <x:c r="D109" s="369" t="n">
        <x:f>IF($A109="","",ABS(2/(T109+2*V109)-'02_Constants'!$D$7)/'02_Constants'!$D$7)</x:f>
        <x:v>0.00010862661676435258</x:v>
      </x:c>
      <x:c r="E109" s="369" t="n">
        <x:f>IF($A109="","",ABS((T109+2*V109)/2-'02_Constants'!$D$8)/'02_Constants'!$D$8)</x:f>
        <x:v>0.00012455568668485976</x:v>
      </x:c>
      <x:c r="F109" s="369" t="n">
        <x:f>IF($A109="","",ABS((T109+2*V109)/V109-'02_Constants'!$D$9)/'02_Constants'!$D$9)</x:f>
        <x:v>0.00012455568668486253</x:v>
      </x:c>
      <x:c r="G109" s="369" t="n">
        <x:f>IF($A109="","",ABS(V109-'02_Constants'!$D$10)/'02_Constants'!$D$10)</x:f>
        <x:v>0</x:v>
      </x:c>
      <x:c r="H109" s="369" t="n">
        <x:f>IF($A109="","",ABS((W109+1)/W109-'02_Constants'!$D$11)/'02_Constants'!$D$11)</x:f>
        <x:v>0.00005163905801900321</x:v>
      </x:c>
      <x:c r="I109" s="369" t="n">
        <x:f>IF($A109="","",ABS((U109+2*V109)/(W109+1)-'02_Constants'!$D$12)/'02_Constants'!$D$12)</x:f>
        <x:v>0.00029665743171780894</x:v>
      </x:c>
      <x:c r="J109" s="369" t="n">
        <x:f>IF($A109="","",ABS(X109/U109-'02_Constants'!$D$13)/'02_Constants'!$D$13)</x:f>
        <x:v>0.00004260374296200412</x:v>
      </x:c>
      <x:c r="K109" s="369" t="n">
        <x:f>IF($A109="","",ABS(W109/(W109+U109)-'02_Constants'!$D$14)/'02_Constants'!$D$14)</x:f>
        <x:v>0.00003568298474753413</x:v>
      </x:c>
      <x:c r="L109" s="369" t="n">
        <x:f>IF($A109="","",ABS(W109/U109-'02_Constants'!$D$15)/'02_Constants'!$D$15)</x:f>
        <x:v>0.00009342466088184628</x:v>
      </x:c>
      <x:c r="M109" s="369" t="n">
        <x:f>IF($A109="","",ABS(2*A109/(90-A109)-'02_Constants'!$D$16)/'02_Constants'!$D$16)</x:f>
        <x:v>0.0008649407192932424</x:v>
      </x:c>
      <x:c r="N109" s="369" t="n">
        <x:f>IF($A109="","",ABS(2*A109/(90-A109)-1-'02_Constants'!$D$17)/'02_Constants'!$D$17)</x:f>
        <x:v>0.0013683160707447103</x:v>
      </x:c>
      <x:c r="O109" s="369" t="n">
        <x:f>IF(A109="","",AVERAGE(C109:N109))</x:f>
        <x:v>0.0003265619130049287</x:v>
      </x:c>
      <x:c r="P109" s="369" t="n">
        <x:f>IF(A109="","",SUMPRODUCT(C109:N109,'03_12_Errors'!$P$4:$AA$4)/SUM('03_12_Errors'!$P$4:$AA$4))</x:f>
        <x:v>0.0004071874608641994</x:v>
      </x:c>
      <x:c r="Q109" s="369" t="n">
        <x:f>IF(A109="","",SQRT(SUMSQ(C109:N109)/12))</x:f>
        <x:v>0.0005337112539702001</x:v>
      </x:c>
      <x:c r="R109" s="369" t="n">
        <x:f>IF(A109="","",MAX(C109:N109))</x:f>
        <x:v>0.0013683160707447103</x:v>
      </x:c>
      <x:c r="S109" s="390" t="n">
        <x:f>IF(A109="","",COUNTIF(C109:N109,"&lt;="&amp;'00_Start'!$B$7))</x:f>
        <x:v>11</x:v>
      </x:c>
      <x:c r="T109" s="365" t="n">
        <x:f>IF(A109="","",0.5*TAN(RADIANS(A109)))</x:f>
        <x:v>0.6361059639469838</x:v>
      </x:c>
      <x:c r="U109" s="365" t="n">
        <x:f>IF(A109="","",0.5)</x:f>
        <x:v>0.5</x:v>
      </x:c>
      <x:c r="V109" s="365" t="n">
        <x:f>IF(A109="","",SQRT(2))</x:f>
        <x:v>1.4142135623730951</x:v>
      </x:c>
      <x:c r="W109" s="365" t="n">
        <x:f>IF(A109="","",SQRT(T109^2+U109^2))</x:f>
        <x:v>0.8090925765132946</x:v>
      </x:c>
      <x:c r="X109" s="365" t="n">
        <x:f>IF(A109="","",SQRT(T109^2+2*U109^2))</x:f>
        <x:v>0.9511208111322775</x:v>
      </x:c>
      <x:c r="Y109" s="127"/>
      <x:c r="Z109" s="127"/>
      <x:c r="AA109" s="127"/>
      <x:c r="AB109" s="127"/>
      <x:c r="AC109" s="127"/>
      <x:c r="AD109" s="127"/>
      <x:c r="AE109" s="127"/>
      <x:c r="AF109" s="127"/>
      <x:c r="AG109" s="127"/>
      <x:c r="AH109" s="127"/>
      <x:c r="AI109" s="127"/>
      <x:c r="AJ109" s="127"/>
      <x:c r="AK109" s="127"/>
      <x:c r="AL109" s="127"/>
    </x:row>
    <x:row r="110">
      <x:c r="A110" s="367" t="n">
        <x:f>IF(A109="","",IF(A109+'00_Start'!$B$12&lt;='00_Start'!$B$11,A109+'00_Start'!$B$12,""))</x:f>
        <x:v>51.83200000000025</x:v>
      </x:c>
      <x:c r="B110" s="367" t="n">
        <x:f>IF(A110="","",2/TAN(RADIANS(A110)))</x:f>
        <x:v>1.5720368857207823</x:v>
      </x:c>
      <x:c r="C110" s="369" t="n">
        <x:f>IF($A110="","",ABS(2/T110-'02_Constants'!$D$6)/'02_Constants'!$D$6)</x:f>
        <x:v>0.0007897643410059282</x:v>
      </x:c>
      <x:c r="D110" s="369" t="n">
        <x:f>IF($A110="","",ABS(2/(T110+2*V110)-'02_Constants'!$D$7)/'02_Constants'!$D$7)</x:f>
        <x:v>0.00010532839654420155</x:v>
      </x:c>
      <x:c r="E110" s="369" t="n">
        <x:f>IF($A110="","",ABS((T110+2*V110)/2-'02_Constants'!$D$8)/'02_Constants'!$D$8)</x:f>
        <x:v>0.00012785397031424297</x:v>
      </x:c>
      <x:c r="F110" s="369" t="n">
        <x:f>IF($A110="","",ABS((T110+2*V110)/V110-'02_Constants'!$D$9)/'02_Constants'!$D$9)</x:f>
        <x:v>0.00012785397031427019</x:v>
      </x:c>
      <x:c r="G110" s="369" t="n">
        <x:f>IF($A110="","",ABS(V110-'02_Constants'!$D$10)/'02_Constants'!$D$10)</x:f>
        <x:v>0</x:v>
      </x:c>
      <x:c r="H110" s="369" t="n">
        <x:f>IF($A110="","",ABS((W110+1)/W110-'02_Constants'!$D$11)/'02_Constants'!$D$11)</x:f>
        <x:v>0.000057775619727979554</x:v>
      </x:c>
      <x:c r="I110" s="369" t="n">
        <x:f>IF($A110="","",ABS((U110+2*V110)/(W110+1)-'02_Constants'!$D$12)/'02_Constants'!$D$12)</x:f>
        <x:v>0.00029169062531549756</x:v>
      </x:c>
      <x:c r="J110" s="369" t="n">
        <x:f>IF($A110="","",ABS(X110/U110-'02_Constants'!$D$13)/'02_Constants'!$D$13)</x:f>
        <x:v>0.000050638215649257686</x:v>
      </x:c>
      <x:c r="K110" s="369" t="n">
        <x:f>IF($A110="","",ABS(W110/(W110+U110)-'02_Constants'!$D$14)/'02_Constants'!$D$14)</x:f>
        <x:v>0.00003992356519888428</x:v>
      </x:c>
      <x:c r="L110" s="369" t="n">
        <x:f>IF($A110="","",ABS(W110/U110-'02_Constants'!$D$15)/'02_Constants'!$D$15)</x:f>
        <x:v>0.00010452800291000775</x:v>
      </x:c>
      <x:c r="M110" s="369" t="n">
        <x:f>IF($A110="","",ABS(2*A110/(90-A110)-'02_Constants'!$D$16)/'02_Constants'!$D$16)</x:f>
        <x:v>0.0008422136450211261</x:v>
      </x:c>
      <x:c r="N110" s="369" t="n">
        <x:f>IF($A110="","",ABS(2*A110/(90-A110)-1-'02_Constants'!$D$17)/'02_Constants'!$D$17)</x:f>
        <x:v>0.001332362368630933</x:v>
      </x:c>
      <x:c r="O110" s="369" t="n">
        <x:f>IF(A110="","",AVERAGE(C110:N110))</x:f>
        <x:v>0.00032249439338602747</x:v>
      </x:c>
      <x:c r="P110" s="369" t="n">
        <x:f>IF(A110="","",SUMPRODUCT(C110:N110,'03_12_Errors'!$P$4:$AA$4)/SUM('03_12_Errors'!$P$4:$AA$4))</x:f>
        <x:v>0.0004011892828555404</x:v>
      </x:c>
      <x:c r="Q110" s="369" t="n">
        <x:f>IF(A110="","",SQRT(SUMSQ(C110:N110)/12))</x:f>
        <x:v>0.0005208593886200256</x:v>
      </x:c>
      <x:c r="R110" s="369" t="n">
        <x:f>IF(A110="","",MAX(C110:N110))</x:f>
        <x:v>0.001332362368630933</x:v>
      </x:c>
      <x:c r="S110" s="390" t="n">
        <x:f>IF(A110="","",COUNTIF(C110:N110,"&lt;="&amp;'00_Start'!$B$7))</x:f>
        <x:v>11</x:v>
      </x:c>
      <x:c r="T110" s="365" t="n">
        <x:f>IF(A110="","",0.5*TAN(RADIANS(A110)))</x:f>
        <x:v>0.6361173895366316</x:v>
      </x:c>
      <x:c r="U110" s="365" t="n">
        <x:f>IF(A110="","",0.5)</x:f>
        <x:v>0.5</x:v>
      </x:c>
      <x:c r="V110" s="365" t="n">
        <x:f>IF(A110="","",SQRT(2))</x:f>
        <x:v>1.4142135623730951</x:v>
      </x:c>
      <x:c r="W110" s="365" t="n">
        <x:f>IF(A110="","",SQRT(T110^2+U110^2))</x:f>
        <x:v>0.8091015593056897</x:v>
      </x:c>
      <x:c r="X110" s="365" t="n">
        <x:f>IF(A110="","",SQRT(T110^2+2*U110^2))</x:f>
        <x:v>0.9511284525609034</x:v>
      </x:c>
      <x:c r="Y110" s="127"/>
      <x:c r="Z110" s="127"/>
      <x:c r="AA110" s="127"/>
      <x:c r="AB110" s="127"/>
      <x:c r="AC110" s="127"/>
      <x:c r="AD110" s="127"/>
      <x:c r="AE110" s="127"/>
      <x:c r="AF110" s="127"/>
      <x:c r="AG110" s="127"/>
      <x:c r="AH110" s="127"/>
      <x:c r="AI110" s="127"/>
      <x:c r="AJ110" s="127"/>
      <x:c r="AK110" s="127"/>
      <x:c r="AL110" s="127"/>
    </x:row>
    <x:row r="111">
      <x:c r="A111" s="367" t="n">
        <x:f>IF(A110="","",IF(A110+'00_Start'!$B$12&lt;='00_Start'!$B$11,A110+'00_Start'!$B$12,""))</x:f>
        <x:v>51.83250000000025</x:v>
      </x:c>
      <x:c r="B111" s="367" t="n">
        <x:f>IF(A111="","",2/TAN(RADIANS(A111)))</x:f>
        <x:v>1.5720086495416212</x:v>
      </x:c>
      <x:c r="C111" s="369" t="n">
        <x:f>IF($A111="","",ABS(2/T111-'02_Constants'!$D$6)/'02_Constants'!$D$6)</x:f>
        <x:v>0.0007717886310559004</x:v>
      </x:c>
      <x:c r="D111" s="369" t="n">
        <x:f>IF($A111="","",ABS(2/(T111+2*V111)-'02_Constants'!$D$7)/'02_Constants'!$D$7)</x:f>
        <x:v>0.00010203012484183632</x:v>
      </x:c>
      <x:c r="E111" s="369" t="n">
        <x:f>IF($A111="","",ABS((T111+2*V111)/2-'02_Constants'!$D$8)/'02_Constants'!$D$8)</x:f>
        <x:v>0.00013115232718183948</x:v>
      </x:c>
      <x:c r="F111" s="369" t="n">
        <x:f>IF($A111="","",ABS((T111+2*V111)/V111-'02_Constants'!$D$9)/'02_Constants'!$D$9)</x:f>
        <x:v>0.00013115232718181007</x:v>
      </x:c>
      <x:c r="G111" s="369" t="n">
        <x:f>IF($A111="","",ABS(V111-'02_Constants'!$D$10)/'02_Constants'!$D$10)</x:f>
        <x:v>0</x:v>
      </x:c>
      <x:c r="H111" s="369" t="n">
        <x:f>IF($A111="","",ABS((W111+1)/W111-'02_Constants'!$D$11)/'02_Constants'!$D$11)</x:f>
        <x:v>0.00006391222353020919</x:v>
      </x:c>
      <x:c r="I111" s="369" t="n">
        <x:f>IF($A111="","",ABS((U111+2*V111)/(W111+1)-'02_Constants'!$D$12)/'02_Constants'!$D$12)</x:f>
        <x:v>0.0002867237238813223</x:v>
      </x:c>
      <x:c r="J111" s="369" t="n">
        <x:f>IF($A111="","",ABS(X111/U111-'02_Constants'!$D$13)/'02_Constants'!$D$13)</x:f>
        <x:v>0.00005867294650565937</x:v>
      </x:c>
      <x:c r="K111" s="369" t="n">
        <x:f>IF($A111="","",ABS(W111/(W111+U111)-'02_Constants'!$D$14)/'02_Constants'!$D$14)</x:f>
        <x:v>0.000044164210702312646</x:v>
      </x:c>
      <x:c r="L111" s="369" t="n">
        <x:f>IF($A111="","",ABS(W111/U111-'02_Constants'!$D$15)/'02_Constants'!$D$15)</x:f>
        <x:v>0.00011563166765071698</x:v>
      </x:c>
      <x:c r="M111" s="369" t="n">
        <x:f>IF($A111="","",ABS(2*A111/(90-A111)-'02_Constants'!$D$16)/'02_Constants'!$D$16)</x:f>
        <x:v>0.000819485975293004</x:v>
      </x:c>
      <x:c r="N111" s="369" t="n">
        <x:f>IF($A111="","",ABS(2*A111/(90-A111)-1-'02_Constants'!$D$17)/'02_Constants'!$D$17)</x:f>
        <x:v>0.0012964077245196247</x:v>
      </x:c>
      <x:c r="O111" s="369" t="n">
        <x:f>IF(A111="","",AVERAGE(C111:N111))</x:f>
        <x:v>0.0003184268235286863</x:v>
      </x:c>
      <x:c r="P111" s="369" t="n">
        <x:f>IF(A111="","",SUMPRODUCT(C111:N111,'03_12_Errors'!$P$4:$AA$4)/SUM('03_12_Errors'!$P$4:$AA$4))</x:f>
        <x:v>0.00039519107417423975</x:v>
      </x:c>
      <x:c r="Q111" s="369" t="n">
        <x:f>IF(A111="","",SQRT(SUMSQ(C111:N111)/12))</x:f>
        <x:v>0.000508081267779749</x:v>
      </x:c>
      <x:c r="R111" s="369" t="n">
        <x:f>IF(A111="","",MAX(C111:N111))</x:f>
        <x:v>0.0012964077245196247</x:v>
      </x:c>
      <x:c r="S111" s="390" t="n">
        <x:f>IF(A111="","",COUNTIF(C111:N111,"&lt;="&amp;'00_Start'!$B$7))</x:f>
        <x:v>11</x:v>
      </x:c>
      <x:c r="T111" s="365" t="n">
        <x:f>IF(A111="","",0.5*TAN(RADIANS(A111)))</x:f>
        <x:v>0.636128815379984</x:v>
      </x:c>
      <x:c r="U111" s="365" t="n">
        <x:f>IF(A111="","",0.5)</x:f>
        <x:v>0.5</x:v>
      </x:c>
      <x:c r="V111" s="365" t="n">
        <x:f>IF(A111="","",SQRT(2))</x:f>
        <x:v>1.4142135623730951</x:v>
      </x:c>
      <x:c r="W111" s="365" t="n">
        <x:f>IF(A111="","",SQRT(T111^2+U111^2))</x:f>
        <x:v>0.8091105423591648</x:v>
      </x:c>
      <x:c r="X111" s="365" t="n">
        <x:f>IF(A111="","",SQRT(T111^2+2*U111^2))</x:f>
        <x:v>0.9511360942350688</x:v>
      </x:c>
      <x:c r="Y111" s="127"/>
      <x:c r="Z111" s="127"/>
      <x:c r="AA111" s="127"/>
      <x:c r="AB111" s="127"/>
      <x:c r="AC111" s="127"/>
      <x:c r="AD111" s="127"/>
      <x:c r="AE111" s="127"/>
      <x:c r="AF111" s="127"/>
      <x:c r="AG111" s="127"/>
      <x:c r="AH111" s="127"/>
      <x:c r="AI111" s="127"/>
      <x:c r="AJ111" s="127"/>
      <x:c r="AK111" s="127"/>
      <x:c r="AL111" s="127"/>
    </x:row>
    <x:row r="112">
      <x:c r="A112" s="367" t="n">
        <x:f>IF(A111="","",IF(A111+'00_Start'!$B$12&lt;='00_Start'!$B$11,A111+'00_Start'!$B$12,""))</x:f>
        <x:v>51.833000000000254</x:v>
      </x:c>
      <x:c r="B112" s="367" t="n">
        <x:f>IF(A112="","",2/TAN(RADIANS(A112)))</x:f>
        <x:v>1.5719804137498121</x:v>
      </x:c>
      <x:c r="C112" s="369" t="n">
        <x:f>IF($A112="","",ABS(2/T112-'02_Constants'!$D$6)/'02_Constants'!$D$6)</x:f>
        <x:v>0.000753813167701769</x:v>
      </x:c>
      <x:c r="D112" s="369" t="n">
        <x:f>IF($A112="","",ABS(2/(T112+2*V112)-'02_Constants'!$D$7)/'02_Constants'!$D$7)</x:f>
        <x:v>0.0000987318016559105</x:v>
      </x:c>
      <x:c r="E112" s="369" t="n">
        <x:f>IF($A112="","",ABS((T112+2*V112)/2-'02_Constants'!$D$8)/'02_Constants'!$D$8)</x:f>
        <x:v>0.0001344507572905978</x:v>
      </x:c>
      <x:c r="F112" s="369" t="n">
        <x:f>IF($A112="","",ABS((T112+2*V112)/V112-'02_Constants'!$D$9)/'02_Constants'!$D$9)</x:f>
        <x:v>0.00013445075729056418</x:v>
      </x:c>
      <x:c r="G112" s="369" t="n">
        <x:f>IF($A112="","",ABS(V112-'02_Constants'!$D$10)/'02_Constants'!$D$10)</x:f>
        <x:v>0</x:v>
      </x:c>
      <x:c r="H112" s="369" t="n">
        <x:f>IF($A112="","",ABS((W112+1)/W112-'02_Constants'!$D$11)/'02_Constants'!$D$11)</x:f>
        <x:v>0.0000700488694241033</x:v>
      </x:c>
      <x:c r="I112" s="369" t="n">
        <x:f>IF($A112="","",ABS((U112+2*V112)/(W112+1)-'02_Constants'!$D$12)/'02_Constants'!$D$12)</x:f>
        <x:v>0.00028175672741335164</x:v>
      </x:c>
      <x:c r="J112" s="369" t="n">
        <x:f>IF($A112="","",ABS(X112/U112-'02_Constants'!$D$13)/'02_Constants'!$D$13)</x:f>
        <x:v>0.00006670793554148167</x:v>
      </x:c>
      <x:c r="K112" s="369" t="n">
        <x:f>IF($A112="","",ABS(W112/(W112+U112)-'02_Constants'!$D$14)/'02_Constants'!$D$14)</x:f>
        <x:v>0.00004840492125817848</x:v>
      </x:c>
      <x:c r="L112" s="369" t="n">
        <x:f>IF($A112="","",ABS(W112/U112-'02_Constants'!$D$15)/'02_Constants'!$D$15)</x:f>
        <x:v>0.00012673565511577586</x:v>
      </x:c>
      <x:c r="M112" s="369" t="n">
        <x:f>IF($A112="","",ABS(2*A112/(90-A112)-'02_Constants'!$D$16)/'02_Constants'!$D$16)</x:f>
        <x:v>0.0007967577100850238</x:v>
      </x:c>
      <x:c r="N112" s="369" t="n">
        <x:f>IF($A112="","",ABS(2*A112/(90-A112)-1-'02_Constants'!$D$17)/'02_Constants'!$D$17)</x:f>
        <x:v>0.0012604521383730515</x:v>
      </x:c>
      <x:c r="O112" s="369" t="n">
        <x:f>IF(A112="","",AVERAGE(C112:N112))</x:f>
        <x:v>0.00031435920342915064</x:v>
      </x:c>
      <x:c r="P112" s="369" t="n">
        <x:f>IF(A112="","",SUMPRODUCT(C112:N112,'03_12_Errors'!$P$4:$AA$4)/SUM('03_12_Errors'!$P$4:$AA$4))</x:f>
        <x:v>0.00038919283481622506</x:v>
      </x:c>
      <x:c r="Q112" s="369" t="n">
        <x:f>IF(A112="","",SQRT(SUMSQ(C112:N112)/12))</x:f>
        <x:v>0.0004953826234449208</x:v>
      </x:c>
      <x:c r="R112" s="369" t="n">
        <x:f>IF(A112="","",MAX(C112:N112))</x:f>
        <x:v>0.0012604521383730515</x:v>
      </x:c>
      <x:c r="S112" s="390" t="n">
        <x:f>IF(A112="","",COUNTIF(C112:N112,"&lt;="&amp;'00_Start'!$B$7))</x:f>
        <x:v>11</x:v>
      </x:c>
      <x:c r="T112" s="365" t="n">
        <x:f>IF(A112="","",0.5*TAN(RADIANS(A112)))</x:f>
        <x:v>0.636140241477051</x:v>
      </x:c>
      <x:c r="U112" s="365" t="n">
        <x:f>IF(A112="","",0.5)</x:f>
        <x:v>0.5</x:v>
      </x:c>
      <x:c r="V112" s="365" t="n">
        <x:f>IF(A112="","",SQRT(2))</x:f>
        <x:v>1.4142135623730951</x:v>
      </x:c>
      <x:c r="W112" s="365" t="n">
        <x:f>IF(A112="","",SQRT(T112^2+U112^2))</x:f>
        <x:v>0.8091195256737294</x:v>
      </x:c>
      <x:c r="X112" s="365" t="n">
        <x:f>IF(A112="","",SQRT(T112^2+2*U112^2))</x:f>
        <x:v>0.9511437361547836</x:v>
      </x:c>
      <x:c r="Y112" s="127"/>
      <x:c r="Z112" s="127"/>
      <x:c r="AA112" s="127"/>
      <x:c r="AB112" s="127"/>
      <x:c r="AC112" s="127"/>
      <x:c r="AD112" s="127"/>
      <x:c r="AE112" s="127"/>
      <x:c r="AF112" s="127"/>
      <x:c r="AG112" s="127"/>
      <x:c r="AH112" s="127"/>
      <x:c r="AI112" s="127"/>
      <x:c r="AJ112" s="127"/>
      <x:c r="AK112" s="127"/>
      <x:c r="AL112" s="127"/>
    </x:row>
    <x:row r="113">
      <x:c r="A113" s="367" t="n">
        <x:f>IF(A112="","",IF(A112+'00_Start'!$B$12&lt;='00_Start'!$B$11,A112+'00_Start'!$B$12,""))</x:f>
        <x:v>51.83350000000026</x:v>
      </x:c>
      <x:c r="B113" s="367" t="n">
        <x:f>IF(A113="","",2/TAN(RADIANS(A113)))</x:f>
        <x:v>1.571952178345342</x:v>
      </x:c>
      <x:c r="C113" s="369" t="n">
        <x:f>IF($A113="","",ABS(2/T113-'02_Constants'!$D$6)/'02_Constants'!$D$6)</x:f>
        <x:v>0.0007358379509353353</x:v>
      </x:c>
      <x:c r="D113" s="369" t="n">
        <x:f>IF($A113="","",ABS(2/(T113+2*V113)-'02_Constants'!$D$7)/'02_Constants'!$D$7)</x:f>
        <x:v>0.00009543342698469302</x:v>
      </x:c>
      <x:c r="E113" s="369" t="n">
        <x:f>IF($A113="","",ABS((T113+2*V113)/2-'02_Constants'!$D$8)/'02_Constants'!$D$8)</x:f>
        <x:v>0.0001377492606433383</x:v>
      </x:c>
      <x:c r="F113" s="369" t="n">
        <x:f>IF($A113="","",ABS((T113+2*V113)/V113-'02_Constants'!$D$9)/'02_Constants'!$D$9)</x:f>
        <x:v>0.00013774926064325204</x:v>
      </x:c>
      <x:c r="G113" s="369" t="n">
        <x:f>IF($A113="","",ABS(V113-'02_Constants'!$D$10)/'02_Constants'!$D$10)</x:f>
        <x:v>0</x:v>
      </x:c>
      <x:c r="H113" s="369" t="n">
        <x:f>IF($A113="","",ABS((W113+1)/W113-'02_Constants'!$D$11)/'02_Constants'!$D$11)</x:f>
        <x:v>0.00007618555740986047</x:v>
      </x:c>
      <x:c r="I113" s="369" t="n">
        <x:f>IF($A113="","",ABS((U113+2*V113)/(W113+1)-'02_Constants'!$D$12)/'02_Constants'!$D$12)</x:f>
        <x:v>0.0002767896359097748</x:v>
      </x:c>
      <x:c r="J113" s="369" t="n">
        <x:f>IF($A113="","",ABS(X113/U113-'02_Constants'!$D$13)/'02_Constants'!$D$13)</x:f>
        <x:v>0.00007474318276734725</x:v>
      </x:c>
      <x:c r="K113" s="369" t="n">
        <x:f>IF($A113="","",ABS(W113/(W113+U113)-'02_Constants'!$D$14)/'02_Constants'!$D$14)</x:f>
        <x:v>0.00005264569686773927</x:v>
      </x:c>
      <x:c r="L113" s="369" t="n">
        <x:f>IF($A113="","",ABS(W113/U113-'02_Constants'!$D$15)/'02_Constants'!$D$15)</x:f>
        <x:v>0.00013783996531780966</x:v>
      </x:c>
      <x:c r="M113" s="369" t="n">
        <x:f>IF($A113="","",ABS(2*A113/(90-A113)-'02_Constants'!$D$16)/'02_Constants'!$D$16)</x:f>
        <x:v>0.0007740288493743137</x:v>
      </x:c>
      <x:c r="N113" s="369" t="n">
        <x:f>IF($A113="","",ABS(2*A113/(90-A113)-1-'02_Constants'!$D$17)/'02_Constants'!$D$17)</x:f>
        <x:v>0.0012244956101550308</x:v>
      </x:c>
      <x:c r="O113" s="369" t="n">
        <x:f>IF(A113="","",AVERAGE(C113:N113))</x:f>
        <x:v>0.0003102915330840412</x:v>
      </x:c>
      <x:c r="P113" s="369" t="n">
        <x:f>IF(A113="","",SUMPRODUCT(C113:N113,'03_12_Errors'!$P$4:$AA$4)/SUM('03_12_Errors'!$P$4:$AA$4))</x:f>
        <x:v>0.0003831945647776712</x:v>
      </x:c>
      <x:c r="Q113" s="369" t="n">
        <x:f>IF(A113="","",SQRT(SUMSQ(C113:N113)/12))</x:f>
        <x:v>0.00048276975327302634</x:v>
      </x:c>
      <x:c r="R113" s="369" t="n">
        <x:f>IF(A113="","",MAX(C113:N113))</x:f>
        <x:v>0.0012244956101550308</x:v>
      </x:c>
      <x:c r="S113" s="390" t="n">
        <x:f>IF(A113="","",COUNTIF(C113:N113,"&lt;="&amp;'00_Start'!$B$7))</x:f>
        <x:v>11</x:v>
      </x:c>
      <x:c r="T113" s="365" t="n">
        <x:f>IF(A113="","",0.5*TAN(RADIANS(A113)))</x:f>
        <x:v>0.6361516678278428</x:v>
      </x:c>
      <x:c r="U113" s="365" t="n">
        <x:f>IF(A113="","",0.5)</x:f>
        <x:v>0.5</x:v>
      </x:c>
      <x:c r="V113" s="365" t="n">
        <x:f>IF(A113="","",SQRT(2))</x:f>
        <x:v>1.4142135623730951</x:v>
      </x:c>
      <x:c r="W113" s="365" t="n">
        <x:f>IF(A113="","",SQRT(T113^2+U113^2))</x:f>
        <x:v>0.8091285092493936</x:v>
      </x:c>
      <x:c r="X113" s="365" t="n">
        <x:f>IF(A113="","",SQRT(T113^2+2*U113^2))</x:f>
        <x:v>0.9511513783200579</x:v>
      </x:c>
      <x:c r="Y113" s="127"/>
      <x:c r="Z113" s="127"/>
      <x:c r="AA113" s="127"/>
      <x:c r="AB113" s="127"/>
      <x:c r="AC113" s="127"/>
      <x:c r="AD113" s="127"/>
      <x:c r="AE113" s="127"/>
      <x:c r="AF113" s="127"/>
      <x:c r="AG113" s="127"/>
      <x:c r="AH113" s="127"/>
      <x:c r="AI113" s="127"/>
      <x:c r="AJ113" s="127"/>
      <x:c r="AK113" s="127"/>
      <x:c r="AL113" s="127"/>
    </x:row>
    <x:row r="114">
      <x:c r="A114" s="367" t="n">
        <x:f>IF(A113="","",IF(A113+'00_Start'!$B$12&lt;='00_Start'!$B$11,A113+'00_Start'!$B$12,""))</x:f>
        <x:v>51.83400000000026</x:v>
      </x:c>
      <x:c r="B114" s="367" t="n">
        <x:f>IF(A114="","",2/TAN(RADIANS(A114)))</x:f>
        <x:v>1.5719239433281988</x:v>
      </x:c>
      <x:c r="C114" s="369" t="n">
        <x:f>IF($A114="","",ABS(2/T114-'02_Constants'!$D$6)/'02_Constants'!$D$6)</x:f>
        <x:v>0.0007178629807488246</x:v>
      </x:c>
      <x:c r="D114" s="369" t="n">
        <x:f>IF($A114="","",ABS(2/(T114+2*V114)-'02_Constants'!$D$7)/'02_Constants'!$D$7)</x:f>
        <x:v>0.00009213500082626049</x:v>
      </x:c>
      <x:c r="E114" s="369" t="n">
        <x:f>IF($A114="","",ABS((T114+2*V114)/2-'02_Constants'!$D$8)/'02_Constants'!$D$8)</x:f>
        <x:v>0.00014104783724313766</x:v>
      </x:c>
      <x:c r="F114" s="369" t="n">
        <x:f>IF($A114="","",ABS((T114+2*V114)/V114-'02_Constants'!$D$9)/'02_Constants'!$D$9)</x:f>
        <x:v>0.00014104783724313704</x:v>
      </x:c>
      <x:c r="G114" s="369" t="n">
        <x:f>IF($A114="","",ABS(V114-'02_Constants'!$D$10)/'02_Constants'!$D$10)</x:f>
        <x:v>0</x:v>
      </x:c>
      <x:c r="H114" s="369" t="n">
        <x:f>IF($A114="","",ABS((W114+1)/W114-'02_Constants'!$D$11)/'02_Constants'!$D$11)</x:f>
        <x:v>0.00008232228748708353</x:v>
      </x:c>
      <x:c r="I114" s="369" t="n">
        <x:f>IF($A114="","",ABS((U114+2*V114)/(W114+1)-'02_Constants'!$D$12)/'02_Constants'!$D$12)</x:f>
        <x:v>0.00027182244936853936</x:v>
      </x:c>
      <x:c r="J114" s="369" t="n">
        <x:f>IF($A114="","",ABS(X114/U114-'02_Constants'!$D$13)/'02_Constants'!$D$13)</x:f>
        <x:v>0.00008277868819399555</x:v>
      </x:c>
      <x:c r="K114" s="369" t="n">
        <x:f>IF($A114="","",ABS(W114/(W114+U114)-'02_Constants'!$D$14)/'02_Constants'!$D$14)</x:f>
        <x:v>0.00005688653753171355</x:v>
      </x:c>
      <x:c r="L114" s="369" t="n">
        <x:f>IF($A114="","",ABS(W114/U114-'02_Constants'!$D$15)/'02_Constants'!$D$15)</x:f>
        <x:v>0.00014894459826944365</x:v>
      </x:c>
      <x:c r="M114" s="369" t="n">
        <x:f>IF($A114="","",ABS(2*A114/(90-A114)-'02_Constants'!$D$16)/'02_Constants'!$D$16)</x:f>
        <x:v>0.0007512993931370214</x:v>
      </x:c>
      <x:c r="N114" s="369" t="n">
        <x:f>IF($A114="","",ABS(2*A114/(90-A114)-1-'02_Constants'!$D$17)/'02_Constants'!$D$17)</x:f>
        <x:v>0.0011885381398278284</x:v>
      </x:c>
      <x:c r="O114" s="369" t="n">
        <x:f>IF(A114="","",AVERAGE(C114:N114))</x:f>
        <x:v>0.00030622381248974876</x:v>
      </x:c>
      <x:c r="P114" s="369" t="n">
        <x:f>IF(A114="","",SUMPRODUCT(C114:N114,'03_12_Errors'!$P$4:$AA$4)/SUM('03_12_Errors'!$P$4:$AA$4))</x:f>
        <x:v>0.0003771962640545628</x:v>
      </x:c>
      <x:c r="Q114" s="369" t="n">
        <x:f>IF(A114="","",SQRT(SUMSQ(C114:N114)/12))</x:f>
        <x:v>0.00047024958585531625</x:v>
      </x:c>
      <x:c r="R114" s="369" t="n">
        <x:f>IF(A114="","",MAX(C114:N114))</x:f>
        <x:v>0.0011885381398278284</x:v>
      </x:c>
      <x:c r="S114" s="390" t="n">
        <x:f>IF(A114="","",COUNTIF(C114:N114,"&lt;="&amp;'00_Start'!$B$7))</x:f>
        <x:v>11</x:v>
      </x:c>
      <x:c r="T114" s="365" t="n">
        <x:f>IF(A114="","",0.5*TAN(RADIANS(A114)))</x:f>
        <x:v>0.6361630944323697</x:v>
      </x:c>
      <x:c r="U114" s="365" t="n">
        <x:f>IF(A114="","",0.5)</x:f>
        <x:v>0.5</x:v>
      </x:c>
      <x:c r="V114" s="365" t="n">
        <x:f>IF(A114="","",SQRT(2))</x:f>
        <x:v>1.4142135623730951</x:v>
      </x:c>
      <x:c r="W114" s="365" t="n">
        <x:f>IF(A114="","",SQRT(T114^2+U114^2))</x:f>
        <x:v>0.8091374930861678</x:v>
      </x:c>
      <x:c r="X114" s="365" t="n">
        <x:f>IF(A114="","",SQRT(T114^2+2*U114^2))</x:f>
        <x:v>0.9511590207309019</x:v>
      </x:c>
      <x:c r="Y114" s="127"/>
      <x:c r="Z114" s="127"/>
      <x:c r="AA114" s="127"/>
      <x:c r="AB114" s="127"/>
      <x:c r="AC114" s="127"/>
      <x:c r="AD114" s="127"/>
      <x:c r="AE114" s="127"/>
      <x:c r="AF114" s="127"/>
      <x:c r="AG114" s="127"/>
      <x:c r="AH114" s="127"/>
      <x:c r="AI114" s="127"/>
      <x:c r="AJ114" s="127"/>
      <x:c r="AK114" s="127"/>
      <x:c r="AL114" s="127"/>
    </x:row>
    <x:row r="115">
      <x:c r="A115" s="367" t="n">
        <x:f>IF(A114="","",IF(A114+'00_Start'!$B$12&lt;='00_Start'!$B$11,A114+'00_Start'!$B$12,""))</x:f>
        <x:v>51.83450000000026</x:v>
      </x:c>
      <x:c r="B115" s="367" t="n">
        <x:f>IF(A115="","",2/TAN(RADIANS(A115)))</x:f>
        <x:v>1.5718957086983705</x:v>
      </x:c>
      <x:c r="C115" s="369" t="n">
        <x:f>IF($A115="","",ABS(2/T115-'02_Constants'!$D$6)/'02_Constants'!$D$6)</x:f>
        <x:v>0.0006998882571346035</x:v>
      </x:c>
      <x:c r="D115" s="369" t="n">
        <x:f>IF($A115="","",ABS(2/(T115+2*V115)-'02_Constants'!$D$7)/'02_Constants'!$D$7)</x:f>
        <x:v>0.00008883652317926649</x:v>
      </x:c>
      <x:c r="E115" s="369" t="n">
        <x:f>IF($A115="","",ABS((T115+2*V115)/2-'02_Constants'!$D$8)/'02_Constants'!$D$8)</x:f>
        <x:v>0.00014434648709281625</x:v>
      </x:c>
      <x:c r="F115" s="369" t="n">
        <x:f>IF($A115="","",ABS((T115+2*V115)/V115-'02_Constants'!$D$9)/'02_Constants'!$D$9)</x:f>
        <x:v>0.0001443464870927573</x:v>
      </x:c>
      <x:c r="G115" s="369" t="n">
        <x:f>IF($A115="","",ABS(V115-'02_Constants'!$D$10)/'02_Constants'!$D$10)</x:f>
        <x:v>0</x:v>
      </x:c>
      <x:c r="H115" s="369" t="n">
        <x:f>IF($A115="","",ABS((W115+1)/W115-'02_Constants'!$D$11)/'02_Constants'!$D$11)</x:f>
        <x:v>0.00008845905965497803</x:v>
      </x:c>
      <x:c r="I115" s="369" t="n">
        <x:f>IF($A115="","",ABS((U115+2*V115)/(W115+1)-'02_Constants'!$D$12)/'02_Constants'!$D$12)</x:f>
        <x:v>0.00026685516778747237</x:v>
      </x:c>
      <x:c r="J115" s="369" t="n">
        <x:f>IF($A115="","",ABS(X115/U115-'02_Constants'!$D$13)/'02_Constants'!$D$13)</x:f>
        <x:v>0.00009081445183169906</x:v>
      </x:c>
      <x:c r="K115" s="369" t="n">
        <x:f>IF($A115="","",ABS(W115/(W115+U115)-'02_Constants'!$D$14)/'02_Constants'!$D$14)</x:f>
        <x:v>0.0000611274432509995</x:v>
      </x:c>
      <x:c r="L115" s="369" t="n">
        <x:f>IF($A115="","",ABS(W115/U115-'02_Constants'!$D$15)/'02_Constants'!$D$15)</x:f>
        <x:v>0.00016004955398289135</x:v>
      </x:c>
      <x:c r="M115" s="369" t="n">
        <x:f>IF($A115="","",ABS(2*A115/(90-A115)-'02_Constants'!$D$16)/'02_Constants'!$D$16)</x:f>
        <x:v>0.0007285693413499481</x:v>
      </x:c>
      <x:c r="N115" s="369" t="n">
        <x:f>IF($A115="","",ABS(2*A115/(90-A115)-1-'02_Constants'!$D$17)/'02_Constants'!$D$17)</x:f>
        <x:v>0.001152579727354745</x:v>
      </x:c>
      <x:c r="O115" s="369" t="n">
        <x:f>IF(A115="","",AVERAGE(C115:N115))</x:f>
        <x:v>0.00030215604164268137</x:v>
      </x:c>
      <x:c r="P115" s="369" t="n">
        <x:f>IF(A115="","",SUMPRODUCT(C115:N115,'03_12_Errors'!$P$4:$AA$4)/SUM('03_12_Errors'!$P$4:$AA$4))</x:f>
        <x:v>0.000371197932642893</x:v>
      </x:c>
      <x:c r="Q115" s="369" t="n">
        <x:f>IF(A115="","",SQRT(SUMSQ(C115:N115)/12))</x:f>
        <x:v>0.00045782975407365544</x:v>
      </x:c>
      <x:c r="R115" s="369" t="n">
        <x:f>IF(A115="","",MAX(C115:N115))</x:f>
        <x:v>0.001152579727354745</x:v>
      </x:c>
      <x:c r="S115" s="390" t="n">
        <x:f>IF(A115="","",COUNTIF(C115:N115,"&lt;="&amp;'00_Start'!$B$7))</x:f>
        <x:v>11</x:v>
      </x:c>
      <x:c r="T115" s="365" t="n">
        <x:f>IF(A115="","",0.5*TAN(RADIANS(A115)))</x:f>
        <x:v>0.6361745212906418</x:v>
      </x:c>
      <x:c r="U115" s="365" t="n">
        <x:f>IF(A115="","",0.5)</x:f>
        <x:v>0.5</x:v>
      </x:c>
      <x:c r="V115" s="365" t="n">
        <x:f>IF(A115="","",SQRT(2))</x:f>
        <x:v>1.4142135623730951</x:v>
      </x:c>
      <x:c r="W115" s="365" t="n">
        <x:f>IF(A115="","",SQRT(T115^2+U115^2))</x:f>
        <x:v>0.8091464771840617</x:v>
      </x:c>
      <x:c r="X115" s="365" t="n">
        <x:f>IF(A115="","",SQRT(T115^2+2*U115^2))</x:f>
        <x:v>0.9511666633873253</x:v>
      </x:c>
      <x:c r="Y115" s="127"/>
      <x:c r="Z115" s="127"/>
      <x:c r="AA115" s="127"/>
      <x:c r="AB115" s="127"/>
      <x:c r="AC115" s="127"/>
      <x:c r="AD115" s="127"/>
      <x:c r="AE115" s="127"/>
      <x:c r="AF115" s="127"/>
      <x:c r="AG115" s="127"/>
      <x:c r="AH115" s="127"/>
      <x:c r="AI115" s="127"/>
      <x:c r="AJ115" s="127"/>
      <x:c r="AK115" s="127"/>
      <x:c r="AL115" s="127"/>
    </x:row>
    <x:row r="116">
      <x:c r="A116" s="367" t="n">
        <x:f>IF(A115="","",IF(A115+'00_Start'!$B$12&lt;='00_Start'!$B$11,A115+'00_Start'!$B$12,""))</x:f>
        <x:v>51.835000000000264</x:v>
      </x:c>
      <x:c r="B116" s="367" t="n">
        <x:f>IF(A116="","",2/TAN(RADIANS(A116)))</x:f>
        <x:v>1.5718674744558445</x:v>
      </x:c>
      <x:c r="C116" s="369" t="n">
        <x:f>IF($A116="","",ABS(2/T116-'02_Constants'!$D$6)/'02_Constants'!$D$6)</x:f>
        <x:v>0.0006819137800847559</x:v>
      </x:c>
      <x:c r="D116" s="369" t="n">
        <x:f>IF($A116="","",ABS(2/(T116+2*V116)-'02_Constants'!$D$7)/'02_Constants'!$D$7)</x:f>
        <x:v>0.00008553799404159528</x:v>
      </x:c>
      <x:c r="E116" s="369" t="n">
        <x:f>IF($A116="","",ABS((T116+2*V116)/2-'02_Constants'!$D$8)/'02_Constants'!$D$8)</x:f>
        <x:v>0.00014764521019532267</x:v>
      </x:c>
      <x:c r="F116" s="369" t="n">
        <x:f>IF($A116="","",ABS((T116+2*V116)/V116-'02_Constants'!$D$9)/'02_Constants'!$D$9)</x:f>
        <x:v>0.00014764521019519498</x:v>
      </x:c>
      <x:c r="G116" s="369" t="n">
        <x:f>IF($A116="","",ABS(V116-'02_Constants'!$D$10)/'02_Constants'!$D$10)</x:f>
        <x:v>0</x:v>
      </x:c>
      <x:c r="H116" s="369" t="n">
        <x:f>IF($A116="","",ABS((W116+1)/W116-'02_Constants'!$D$11)/'02_Constants'!$D$11)</x:f>
        <x:v>0.0000945958739133454</x:v>
      </x:c>
      <x:c r="I116" s="369" t="n">
        <x:f>IF($A116="","",ABS((U116+2*V116)/(W116+1)-'02_Constants'!$D$12)/'02_Constants'!$D$12)</x:f>
        <x:v>0.00026188779116476297</x:v>
      </x:c>
      <x:c r="J116" s="369" t="n">
        <x:f>IF($A116="","",ABS(X116/U116-'02_Constants'!$D$13)/'02_Constants'!$D$13)</x:f>
        <x:v>0.0000988504736911972</x:v>
      </x:c>
      <x:c r="K116" s="369" t="n">
        <x:f>IF($A116="","",ABS(W116/(W116+U116)-'02_Constants'!$D$14)/'02_Constants'!$D$14)</x:f>
        <x:v>0.00006536841402649534</x:v>
      </x:c>
      <x:c r="L116" s="369" t="n">
        <x:f>IF($A116="","",ABS(W116/U116-'02_Constants'!$D$15)/'02_Constants'!$D$15)</x:f>
        <x:v>0.00017115483247064086</x:v>
      </x:c>
      <x:c r="M116" s="369" t="n">
        <x:f>IF($A116="","",ABS(2*A116/(90-A116)-'02_Constants'!$D$16)/'02_Constants'!$D$16)</x:f>
        <x:v>0.0007058386939895684</x:v>
      </x:c>
      <x:c r="N116" s="369" t="n">
        <x:f>IF($A116="","",ABS(2*A116/(90-A116)-1-'02_Constants'!$D$17)/'02_Constants'!$D$17)</x:f>
        <x:v>0.0011166203726985637</x:v>
      </x:c>
      <x:c r="O116" s="369" t="n">
        <x:f>IF(A116="","",AVERAGE(C116:N116))</x:f>
        <x:v>0.0002980882205392869</x:v>
      </x:c>
      <x:c r="P116" s="369" t="n">
        <x:f>IF(A116="","",SUMPRODUCT(C116:N116,'03_12_Errors'!$P$4:$AA$4)/SUM('03_12_Errors'!$P$4:$AA$4))</x:f>
        <x:v>0.000365199570538719</x:v>
      </x:c>
      <x:c r="Q116" s="369" t="n">
        <x:f>IF(A116="","",SQRT(SUMSQ(C116:N116)/12))</x:f>
        <x:v>0.00044551867746497436</x:v>
      </x:c>
      <x:c r="R116" s="369" t="n">
        <x:f>IF(A116="","",MAX(C116:N116))</x:f>
        <x:v>0.0011166203726985637</x:v>
      </x:c>
      <x:c r="S116" s="390" t="n">
        <x:f>IF(A116="","",COUNTIF(C116:N116,"&lt;="&amp;'00_Start'!$B$7))</x:f>
        <x:v>11</x:v>
      </x:c>
      <x:c r="T116" s="365" t="n">
        <x:f>IF(A116="","",0.5*TAN(RADIANS(A116)))</x:f>
        <x:v>0.6361859484026693</x:v>
      </x:c>
      <x:c r="U116" s="365" t="n">
        <x:f>IF(A116="","",0.5)</x:f>
        <x:v>0.5</x:v>
      </x:c>
      <x:c r="V116" s="365" t="n">
        <x:f>IF(A116="","",SQRT(2))</x:f>
        <x:v>1.4142135623730951</x:v>
      </x:c>
      <x:c r="W116" s="365" t="n">
        <x:f>IF(A116="","",SQRT(T116^2+U116^2))</x:f>
        <x:v>0.8091554615430856</x:v>
      </x:c>
      <x:c r="X116" s="365" t="n">
        <x:f>IF(A116="","",SQRT(T116^2+2*U116^2))</x:f>
        <x:v>0.9511743062893383</x:v>
      </x:c>
      <x:c r="Y116" s="127"/>
      <x:c r="Z116" s="127"/>
      <x:c r="AA116" s="127"/>
      <x:c r="AB116" s="127"/>
      <x:c r="AC116" s="127"/>
      <x:c r="AD116" s="127"/>
      <x:c r="AE116" s="127"/>
      <x:c r="AF116" s="127"/>
      <x:c r="AG116" s="127"/>
      <x:c r="AH116" s="127"/>
      <x:c r="AI116" s="127"/>
      <x:c r="AJ116" s="127"/>
      <x:c r="AK116" s="127"/>
      <x:c r="AL116" s="127"/>
    </x:row>
    <x:row r="117">
      <x:c r="A117" s="367" t="n">
        <x:f>IF(A116="","",IF(A116+'00_Start'!$B$12&lt;='00_Start'!$B$11,A116+'00_Start'!$B$12,""))</x:f>
        <x:v>51.835500000000266</x:v>
      </x:c>
      <x:c r="B117" s="367" t="n">
        <x:f>IF(A117="","",2/TAN(RADIANS(A117)))</x:f>
        <x:v>1.571839240600609</x:v>
      </x:c>
      <x:c r="C117" s="369" t="n">
        <x:f>IF($A117="","",ABS(2/T117-'02_Constants'!$D$6)/'02_Constants'!$D$6)</x:f>
        <x:v>0.0006639395495916487</x:v>
      </x:c>
      <x:c r="D117" s="369" t="n">
        <x:f>IF($A117="","",ABS(2/(T117+2*V117)-'02_Constants'!$D$7)/'02_Constants'!$D$7)</x:f>
        <x:v>0.00008223941341170814</x:v>
      </x:c>
      <x:c r="E117" s="369" t="n">
        <x:f>IF($A117="","",ABS((T117+2*V117)/2-'02_Constants'!$D$8)/'02_Constants'!$D$8)</x:f>
        <x:v>0.00015094400655373357</x:v>
      </x:c>
      <x:c r="F117" s="369" t="n">
        <x:f>IF($A117="","",ABS((T117+2*V117)/V117-'02_Constants'!$D$9)/'02_Constants'!$D$9)</x:f>
        <x:v>0.00015094400655371338</x:v>
      </x:c>
      <x:c r="G117" s="369" t="n">
        <x:f>IF($A117="","",ABS(V117-'02_Constants'!$D$10)/'02_Constants'!$D$10)</x:f>
        <x:v>0</x:v>
      </x:c>
      <x:c r="H117" s="369" t="n">
        <x:f>IF($A117="","",ABS((W117+1)/W117-'02_Constants'!$D$11)/'02_Constants'!$D$11)</x:f>
        <x:v>0.00010073273026139122</x:v>
      </x:c>
      <x:c r="I117" s="369" t="n">
        <x:f>IF($A117="","",ABS((U117+2*V117)/(W117+1)-'02_Constants'!$D$12)/'02_Constants'!$D$12)</x:f>
        <x:v>0.0002569203194984796</x:v>
      </x:c>
      <x:c r="J117" s="369" t="n">
        <x:f>IF($A117="","",ABS(X117/U117-'02_Constants'!$D$13)/'02_Constants'!$D$13)</x:f>
        <x:v>0.00010688675378276247</x:v>
      </x:c>
      <x:c r="K117" s="369" t="n">
        <x:f>IF($A117="","",ABS(W117/(W117+U117)-'02_Constants'!$D$14)/'02_Constants'!$D$14)</x:f>
        <x:v>0.00006960944985891961</x:v>
      </x:c>
      <x:c r="L117" s="369" t="n">
        <x:f>IF($A117="","",ABS(W117/U117-'02_Constants'!$D$15)/'02_Constants'!$D$15)</x:f>
        <x:v>0.0001822604337449057</x:v>
      </x:c>
      <x:c r="M117" s="369" t="n">
        <x:f>IF($A117="","",ABS(2*A117/(90-A117)-'02_Constants'!$D$16)/'02_Constants'!$D$16)</x:f>
        <x:v>0.0006831074510326836</x:v>
      </x:c>
      <x:c r="N117" s="369" t="n">
        <x:f>IF($A117="","",ABS(2*A117/(90-A117)-1-'02_Constants'!$D$17)/'02_Constants'!$D$17)</x:f>
        <x:v>0.0010806600758225845</x:v>
      </x:c>
      <x:c r="O117" s="369" t="n">
        <x:f>IF(A117="","",AVERAGE(C117:N117))</x:f>
        <x:v>0.00029402034917604423</x:v>
      </x:c>
      <x:c r="P117" s="369" t="n">
        <x:f>IF(A117="","",SUMPRODUCT(C117:N117,'03_12_Errors'!$P$4:$AA$4)/SUM('03_12_Errors'!$P$4:$AA$4))</x:f>
        <x:v>0.00035920117773810816</x:v>
      </x:c>
      <x:c r="Q117" s="369" t="n">
        <x:f>IF(A117="","",SQRT(SUMSQ(C117:N117)/12))</x:f>
        <x:v>0.0004333256545661668</x:v>
      </x:c>
      <x:c r="R117" s="369" t="n">
        <x:f>IF(A117="","",MAX(C117:N117))</x:f>
        <x:v>0.0010806600758225845</x:v>
      </x:c>
      <x:c r="S117" s="390" t="n">
        <x:f>IF(A117="","",COUNTIF(C117:N117,"&lt;="&amp;'00_Start'!$B$7))</x:f>
        <x:v>11</x:v>
      </x:c>
      <x:c r="T117" s="365" t="n">
        <x:f>IF(A117="","",0.5*TAN(RADIANS(A117)))</x:f>
        <x:v>0.6361973757684622</x:v>
      </x:c>
      <x:c r="U117" s="365" t="n">
        <x:f>IF(A117="","",0.5)</x:f>
        <x:v>0.5</x:v>
      </x:c>
      <x:c r="V117" s="365" t="n">
        <x:f>IF(A117="","",SQRT(2))</x:f>
        <x:v>1.4142135623730951</x:v>
      </x:c>
      <x:c r="W117" s="365" t="n">
        <x:f>IF(A117="","",SQRT(T117^2+U117^2))</x:f>
        <x:v>0.8091644461632492</x:v>
      </x:c>
      <x:c r="X117" s="365" t="n">
        <x:f>IF(A117="","",SQRT(T117^2+2*U117^2))</x:f>
        <x:v>0.9511819494369508</x:v>
      </x:c>
      <x:c r="Y117" s="127"/>
      <x:c r="Z117" s="127"/>
      <x:c r="AA117" s="127"/>
      <x:c r="AB117" s="127"/>
      <x:c r="AC117" s="127"/>
      <x:c r="AD117" s="127"/>
      <x:c r="AE117" s="127"/>
      <x:c r="AF117" s="127"/>
      <x:c r="AG117" s="127"/>
      <x:c r="AH117" s="127"/>
      <x:c r="AI117" s="127"/>
      <x:c r="AJ117" s="127"/>
      <x:c r="AK117" s="127"/>
      <x:c r="AL117" s="127"/>
    </x:row>
    <x:row r="118">
      <x:c r="A118" s="367" t="n">
        <x:f>IF(A117="","",IF(A117+'00_Start'!$B$12&lt;='00_Start'!$B$11,A117+'00_Start'!$B$12,""))</x:f>
        <x:v>51.83600000000027</x:v>
      </x:c>
      <x:c r="B118" s="367" t="n">
        <x:f>IF(A118="","",2/TAN(RADIANS(A118)))</x:f>
        <x:v>1.5718110071326512</x:v>
      </x:c>
      <x:c r="C118" s="369" t="n">
        <x:f>IF($A118="","",ABS(2/T118-'02_Constants'!$D$6)/'02_Constants'!$D$6)</x:f>
        <x:v>0.0006459655656472243</x:v>
      </x:c>
      <x:c r="D118" s="369" t="n">
        <x:f>IF($A118="","",ABS(2/(T118+2*V118)-'02_Constants'!$D$7)/'02_Constants'!$D$7)</x:f>
        <x:v>0.00007894078128806633</x:v>
      </x:c>
      <x:c r="E118" s="369" t="n">
        <x:f>IF($A118="","",ABS((T118+2*V118)/2-'02_Constants'!$D$8)/'02_Constants'!$D$8)</x:f>
        <x:v>0.00015424287617086938</x:v>
      </x:c>
      <x:c r="F118" s="369" t="n">
        <x:f>IF($A118="","",ABS((T118+2*V118)/V118-'02_Constants'!$D$9)/'02_Constants'!$D$9)</x:f>
        <x:v>0.00015424287617085073</x:v>
      </x:c>
      <x:c r="G118" s="369" t="n">
        <x:f>IF($A118="","",ABS(V118-'02_Constants'!$D$10)/'02_Constants'!$D$10)</x:f>
        <x:v>0</x:v>
      </x:c>
      <x:c r="H118" s="369" t="n">
        <x:f>IF($A118="","",ABS((W118+1)/W118-'02_Constants'!$D$11)/'02_Constants'!$D$11)</x:f>
        <x:v>0.00010686962869911547</x:v>
      </x:c>
      <x:c r="I118" s="369" t="n">
        <x:f>IF($A118="","",ABS((U118+2*V118)/(W118+1)-'02_Constants'!$D$12)/'02_Constants'!$D$12)</x:f>
        <x:v>0.00025195275278644923</x:v>
      </x:c>
      <x:c r="J118" s="369" t="n">
        <x:f>IF($A118="","",ABS(X118/U118-'02_Constants'!$D$13)/'02_Constants'!$D$13)</x:f>
        <x:v>0.00011492329211725099</x:v>
      </x:c>
      <x:c r="K118" s="369" t="n">
        <x:f>IF($A118="","",ABS(W118/(W118+U118)-'02_Constants'!$D$14)/'02_Constants'!$D$14)</x:f>
        <x:v>0.00007385055074952977</x:v>
      </x:c>
      <x:c r="L118" s="369" t="n">
        <x:f>IF($A118="","",ABS(W118/U118-'02_Constants'!$D$15)/'02_Constants'!$D$15)</x:f>
        <x:v>0.00019336635781872283</x:v>
      </x:c>
      <x:c r="M118" s="369" t="n">
        <x:f>IF($A118="","",ABS(2*A118/(90-A118)-'02_Constants'!$D$16)/'02_Constants'!$D$16)</x:f>
        <x:v>0.0006603756124557682</x:v>
      </x:c>
      <x:c r="N118" s="369" t="n">
        <x:f>IF($A118="","",ABS(2*A118/(90-A118)-1-'02_Constants'!$D$17)/'02_Constants'!$D$17)</x:f>
        <x:v>0.0010446988366895908</x:v>
      </x:c>
      <x:c r="O118" s="369" t="n">
        <x:f>IF(A118="","",AVERAGE(C118:N118))</x:f>
        <x:v>0.00028995242754945315</x:v>
      </x:c>
      <x:c r="P118" s="369" t="n">
        <x:f>IF(A118="","",SUMPRODUCT(C118:N118,'03_12_Errors'!$P$4:$AA$4)/SUM('03_12_Errors'!$P$4:$AA$4))</x:f>
        <x:v>0.00035320275423710934</x:v>
      </x:c>
      <x:c r="Q118" s="369" t="n">
        <x:f>IF(A118="","",SQRT(SUMSQ(C118:N118)/12))</x:f>
        <x:v>0.00042126096622583146</x:v>
      </x:c>
      <x:c r="R118" s="369" t="n">
        <x:f>IF(A118="","",MAX(C118:N118))</x:f>
        <x:v>0.0010446988366895908</x:v>
      </x:c>
      <x:c r="S118" s="390" t="n">
        <x:f>IF(A118="","",COUNTIF(C118:N118,"&lt;="&amp;'00_Start'!$B$7))</x:f>
        <x:v>11</x:v>
      </x:c>
      <x:c r="T118" s="365" t="n">
        <x:f>IF(A118="","",0.5*TAN(RADIANS(A118)))</x:f>
        <x:v>0.6362088033880311</x:v>
      </x:c>
      <x:c r="U118" s="365" t="n">
        <x:f>IF(A118="","",0.5)</x:f>
        <x:v>0.5</x:v>
      </x:c>
      <x:c r="V118" s="365" t="n">
        <x:f>IF(A118="","",SQRT(2))</x:f>
        <x:v>1.4142135623730951</x:v>
      </x:c>
      <x:c r="W118" s="365" t="n">
        <x:f>IF(A118="","",SQRT(T118^2+U118^2))</x:f>
        <x:v>0.8091734310445632</x:v>
      </x:c>
      <x:c r="X118" s="365" t="n">
        <x:f>IF(A118="","",SQRT(T118^2+2*U118^2))</x:f>
        <x:v>0.951189592830173</x:v>
      </x:c>
      <x:c r="Y118" s="127"/>
      <x:c r="Z118" s="127"/>
      <x:c r="AA118" s="127"/>
      <x:c r="AB118" s="127"/>
      <x:c r="AC118" s="127"/>
      <x:c r="AD118" s="127"/>
      <x:c r="AE118" s="127"/>
      <x:c r="AF118" s="127"/>
      <x:c r="AG118" s="127"/>
      <x:c r="AH118" s="127"/>
      <x:c r="AI118" s="127"/>
      <x:c r="AJ118" s="127"/>
      <x:c r="AK118" s="127"/>
      <x:c r="AL118" s="127"/>
    </x:row>
    <x:row r="119">
      <x:c r="A119" s="367" t="n">
        <x:f>IF(A118="","",IF(A118+'00_Start'!$B$12&lt;='00_Start'!$B$11,A118+'00_Start'!$B$12,""))</x:f>
        <x:v>51.83650000000027</x:v>
      </x:c>
      <x:c r="B119" s="367" t="n">
        <x:f>IF(A119="","",2/TAN(RADIANS(A119)))</x:f>
        <x:v>1.5717827740519585</x:v>
      </x:c>
      <x:c r="C119" s="369" t="n">
        <x:f>IF($A119="","",ABS(2/T119-'02_Constants'!$D$6)/'02_Constants'!$D$6)</x:f>
        <x:v>0.0006279918282434254</x:v>
      </x:c>
      <x:c r="D119" s="369" t="n">
        <x:f>IF($A119="","",ABS(2/(T119+2*V119)-'02_Constants'!$D$7)/'02_Constants'!$D$7)</x:f>
        <x:v>0.0000756420976685541</x:v>
      </x:c>
      <x:c r="E119" s="369" t="n">
        <x:f>IF($A119="","",ABS((T119+2*V119)/2-'02_Constants'!$D$8)/'02_Constants'!$D$8)</x:f>
        <x:v>0.0001575418190498068</x:v>
      </x:c>
      <x:c r="F119" s="369" t="n">
        <x:f>IF($A119="","",ABS((T119+2*V119)/V119-'02_Constants'!$D$9)/'02_Constants'!$D$9)</x:f>
        <x:v>0.00015754181904968908</x:v>
      </x:c>
      <x:c r="G119" s="369" t="n">
        <x:f>IF($A119="","",ABS(V119-'02_Constants'!$D$10)/'02_Constants'!$D$10)</x:f>
        <x:v>0</x:v>
      </x:c>
      <x:c r="H119" s="369" t="n">
        <x:f>IF($A119="","",ABS((W119+1)/W119-'02_Constants'!$D$11)/'02_Constants'!$D$11)</x:f>
        <x:v>0.00011300656922572376</x:v>
      </x:c>
      <x:c r="I119" s="369" t="n">
        <x:f>IF($A119="","",ABS((U119+2*V119)/(W119+1)-'02_Constants'!$D$12)/'02_Constants'!$D$12)</x:f>
        <x:v>0.0002469850910266196</x:v>
      </x:c>
      <x:c r="J119" s="369" t="n">
        <x:f>IF($A119="","",ABS(X119/U119-'02_Constants'!$D$13)/'02_Constants'!$D$13)</x:f>
        <x:v>0.0001229600887054022</x:v>
      </x:c>
      <x:c r="K119" s="369" t="n">
        <x:f>IF($A119="","",ABS(W119/(W119+U119)-'02_Constants'!$D$14)/'02_Constants'!$D$14)</x:f>
        <x:v>0.00007809171669886472</x:v>
      </x:c>
      <x:c r="L119" s="369" t="n">
        <x:f>IF($A119="","",ABS(W119/U119-'02_Constants'!$D$15)/'02_Constants'!$D$15)</x:f>
        <x:v>0.00020447260470416863</x:v>
      </x:c>
      <x:c r="M119" s="369" t="n">
        <x:f>IF($A119="","",ABS(2*A119/(90-A119)-'02_Constants'!$D$16)/'02_Constants'!$D$16)</x:f>
        <x:v>0.0006376431782354602</x:v>
      </x:c>
      <x:c r="N119" s="369" t="n">
        <x:f>IF($A119="","",ABS(2*A119/(90-A119)-1-'02_Constants'!$D$17)/'02_Constants'!$D$17)</x:f>
        <x:v>0.0010087366552626242</x:v>
      </x:c>
      <x:c r="O119" s="369" t="n">
        <x:f>IF(A119="","",AVERAGE(C119:N119))</x:f>
        <x:v>0.00028588445565586154</x:v>
      </x:c>
      <x:c r="P119" s="369" t="n">
        <x:f>IF(A119="","",SUMPRODUCT(C119:N119,'03_12_Errors'!$P$4:$AA$4)/SUM('03_12_Errors'!$P$4:$AA$4))</x:f>
        <x:v>0.00034720430003168194</x:v>
      </x:c>
      <x:c r="Q119" s="369" t="n">
        <x:f>IF(A119="","",SQRT(SUMSQ(C119:N119)/12))</x:f>
        <x:v>0.0004093359908420171</x:v>
      </x:c>
      <x:c r="R119" s="369" t="n">
        <x:f>IF(A119="","",MAX(C119:N119))</x:f>
        <x:v>0.0010087366552626242</x:v>
      </x:c>
      <x:c r="S119" s="390" t="n">
        <x:f>IF(A119="","",COUNTIF(C119:N119,"&lt;="&amp;'00_Start'!$B$7))</x:f>
        <x:v>11</x:v>
      </x:c>
      <x:c r="T119" s="365" t="n">
        <x:f>IF(A119="","",0.5*TAN(RADIANS(A119)))</x:f>
        <x:v>0.636220231261386</x:v>
      </x:c>
      <x:c r="U119" s="365" t="n">
        <x:f>IF(A119="","",0.5)</x:f>
        <x:v>0.5</x:v>
      </x:c>
      <x:c r="V119" s="365" t="n">
        <x:f>IF(A119="","",SQRT(2))</x:f>
        <x:v>1.4142135623730951</x:v>
      </x:c>
      <x:c r="W119" s="365" t="n">
        <x:f>IF(A119="","",SQRT(T119^2+U119^2))</x:f>
        <x:v>0.8091824161870372</x:v>
      </x:c>
      <x:c r="X119" s="365" t="n">
        <x:f>IF(A119="","",SQRT(T119^2+2*U119^2))</x:f>
        <x:v>0.9511972364690152</x:v>
      </x:c>
      <x:c r="Y119" s="127"/>
      <x:c r="Z119" s="127"/>
      <x:c r="AA119" s="127"/>
      <x:c r="AB119" s="127"/>
      <x:c r="AC119" s="127"/>
      <x:c r="AD119" s="127"/>
      <x:c r="AE119" s="127"/>
      <x:c r="AF119" s="127"/>
      <x:c r="AG119" s="127"/>
      <x:c r="AH119" s="127"/>
      <x:c r="AI119" s="127"/>
      <x:c r="AJ119" s="127"/>
      <x:c r="AK119" s="127"/>
      <x:c r="AL119" s="127"/>
    </x:row>
    <x:row r="120">
      <x:c r="A120" s="367" t="n">
        <x:f>IF(A119="","",IF(A119+'00_Start'!$B$12&lt;='00_Start'!$B$11,A119+'00_Start'!$B$12,""))</x:f>
        <x:v>51.83700000000027</x:v>
      </x:c>
      <x:c r="B120" s="367" t="n">
        <x:f>IF(A120="","",2/TAN(RADIANS(A120)))</x:f>
        <x:v>1.5717545413585199</x:v>
      </x:c>
      <x:c r="C120" s="369" t="n">
        <x:f>IF($A120="","",ABS(2/T120-'02_Constants'!$D$6)/'02_Constants'!$D$6)</x:f>
        <x:v>0.000610018337373184</x:v>
      </x:c>
      <x:c r="D120" s="369" t="n">
        <x:f>IF($A120="","",ABS(2/(T120+2*V120)-'02_Constants'!$D$7)/'02_Constants'!$D$7)</x:f>
        <x:v>0.00007234336255201741</x:v>
      </x:c>
      <x:c r="E120" s="369" t="n">
        <x:f>IF($A120="","",ABS((T120+2*V120)/2-'02_Constants'!$D$8)/'02_Constants'!$D$8)</x:f>
        <x:v>0.00016084083519323793</x:v>
      </x:c>
      <x:c r="F120" s="369" t="n">
        <x:f>IF($A120="","",ABS((T120+2*V120)/V120-'02_Constants'!$D$9)/'02_Constants'!$D$9)</x:f>
        <x:v>0.00016084083519312924</x:v>
      </x:c>
      <x:c r="G120" s="369" t="n">
        <x:f>IF($A120="","",ABS(V120-'02_Constants'!$D$10)/'02_Constants'!$D$10)</x:f>
        <x:v>0</x:v>
      </x:c>
      <x:c r="H120" s="369" t="n">
        <x:f>IF($A120="","",ABS((W120+1)/W120-'02_Constants'!$D$11)/'02_Constants'!$D$11)</x:f>
        <x:v>0.00011914355184062029</x:v>
      </x:c>
      <x:c r="I120" s="369" t="n">
        <x:f>IF($A120="","",ABS((U120+2*V120)/(W120+1)-'02_Constants'!$D$12)/'02_Constants'!$D$12)</x:f>
        <x:v>0.00024201733421705905</x:v>
      </x:c>
      <x:c r="J120" s="369" t="n">
        <x:f>IF($A120="","",ABS(X120/U120-'02_Constants'!$D$13)/'02_Constants'!$D$13)</x:f>
        <x:v>0.00013099714355725513</x:v>
      </x:c>
      <x:c r="K120" s="369" t="n">
        <x:f>IF($A120="","",ABS(W120/(W120+U120)-'02_Constants'!$D$14)/'02_Constants'!$D$14)</x:f>
        <x:v>0.00008233294770782267</x:v>
      </x:c>
      <x:c r="L120" s="369" t="n">
        <x:f>IF($A120="","",ABS(W120/U120-'02_Constants'!$D$15)/'02_Constants'!$D$15)</x:f>
        <x:v>0.00021557917441359384</x:v>
      </x:c>
      <x:c r="M120" s="369" t="n">
        <x:f>IF($A120="","",ABS(2*A120/(90-A120)-'02_Constants'!$D$16)/'02_Constants'!$D$16)</x:f>
        <x:v>0.000614910148348234</x:v>
      </x:c>
      <x:c r="N120" s="369" t="n">
        <x:f>IF($A120="","",ABS(2*A120/(90-A120)-1-'02_Constants'!$D$17)/'02_Constants'!$D$17)</x:f>
        <x:v>0.0009727735315044681</x:v>
      </x:c>
      <x:c r="O120" s="369" t="n">
        <x:f>IF(A120="","",AVERAGE(C120:N120))</x:f>
        <x:v>0.0002818164334917185</x:v>
      </x:c>
      <x:c r="P120" s="369" t="n">
        <x:f>IF(A120="","",SUMPRODUCT(C120:N120,'03_12_Errors'!$P$4:$AA$4)/SUM('03_12_Errors'!$P$4:$AA$4))</x:f>
        <x:v>0.0003412058151178873</x:v>
      </x:c>
      <x:c r="Q120" s="369" t="n">
        <x:f>IF(A120="","",SQRT(SUMSQ(C120:N120)/12))</x:f>
        <x:v>0.00039756333238150825</x:v>
      </x:c>
      <x:c r="R120" s="369" t="n">
        <x:f>IF(A120="","",MAX(C120:N120))</x:f>
        <x:v>0.0009727735315044681</x:v>
      </x:c>
      <x:c r="S120" s="390" t="n">
        <x:f>IF(A120="","",COUNTIF(C120:N120,"&lt;="&amp;'00_Start'!$B$7))</x:f>
        <x:v>12</x:v>
      </x:c>
      <x:c r="T120" s="365" t="n">
        <x:f>IF(A120="","",0.5*TAN(RADIANS(A120)))</x:f>
        <x:v>0.636231659388537</x:v>
      </x:c>
      <x:c r="U120" s="365" t="n">
        <x:f>IF(A120="","",0.5)</x:f>
        <x:v>0.5</x:v>
      </x:c>
      <x:c r="V120" s="365" t="n">
        <x:f>IF(A120="","",SQRT(2))</x:f>
        <x:v>1.4142135623730951</x:v>
      </x:c>
      <x:c r="W120" s="365" t="n">
        <x:f>IF(A120="","",SQRT(T120^2+U120^2))</x:f>
        <x:v>0.8091914015906814</x:v>
      </x:c>
      <x:c r="X120" s="365" t="n">
        <x:f>IF(A120="","",SQRT(T120^2+2*U120^2))</x:f>
        <x:v>0.9512048803534869</x:v>
      </x:c>
      <x:c r="Y120" s="127"/>
      <x:c r="Z120" s="127"/>
      <x:c r="AA120" s="127"/>
      <x:c r="AB120" s="127"/>
      <x:c r="AC120" s="127"/>
      <x:c r="AD120" s="127"/>
      <x:c r="AE120" s="127"/>
      <x:c r="AF120" s="127"/>
      <x:c r="AG120" s="127"/>
      <x:c r="AH120" s="127"/>
      <x:c r="AI120" s="127"/>
      <x:c r="AJ120" s="127"/>
      <x:c r="AK120" s="127"/>
      <x:c r="AL120" s="127"/>
    </x:row>
    <x:row r="121">
      <x:c r="A121" s="367" t="n">
        <x:f>IF(A120="","",IF(A120+'00_Start'!$B$12&lt;='00_Start'!$B$11,A120+'00_Start'!$B$12,""))</x:f>
        <x:v>51.837500000000276</x:v>
      </x:c>
      <x:c r="B121" s="367" t="n">
        <x:f>IF(A121="","",2/TAN(RADIANS(A121)))</x:f>
        <x:v>1.5717263090523221</x:v>
      </x:c>
      <x:c r="C121" s="369" t="n">
        <x:f>IF($A121="","",ABS(2/T121-'02_Constants'!$D$6)/'02_Constants'!$D$6)</x:f>
        <x:v>0.0005920450930281601</x:v>
      </x:c>
      <x:c r="D121" s="369" t="n">
        <x:f>IF($A121="","",ABS(2/(T121+2*V121)-'02_Constants'!$D$7)/'02_Constants'!$D$7)</x:f>
        <x:v>0.00006904457593634051</x:v>
      </x:c>
      <x:c r="E121" s="369" t="n">
        <x:f>IF($A121="","",ABS((T121+2*V121)/2-'02_Constants'!$D$8)/'02_Constants'!$D$8)</x:f>
        <x:v>0.0001641399246042396</x:v>
      </x:c>
      <x:c r="F121" s="369" t="n">
        <x:f>IF($A121="","",ABS((T121+2*V121)/V121-'02_Constants'!$D$9)/'02_Constants'!$D$9)</x:f>
        <x:v>0.00016413992460425324</x:v>
      </x:c>
      <x:c r="G121" s="369" t="n">
        <x:f>IF($A121="","",ABS(V121-'02_Constants'!$D$10)/'02_Constants'!$D$10)</x:f>
        <x:v>0</x:v>
      </x:c>
      <x:c r="H121" s="369" t="n">
        <x:f>IF($A121="","",ABS((W121+1)/W121-'02_Constants'!$D$11)/'02_Constants'!$D$11)</x:f>
        <x:v>0.00012528057654380501</x:v>
      </x:c>
      <x:c r="I121" s="369" t="n">
        <x:f>IF($A121="","",ABS((U121+2*V121)/(W121+1)-'02_Constants'!$D$12)/'02_Constants'!$D$12)</x:f>
        <x:v>0.0002370494823559568</x:v>
      </x:c>
      <x:c r="J121" s="369" t="n">
        <x:f>IF($A121="","",ABS(X121/U121-'02_Constants'!$D$13)/'02_Constants'!$D$13)</x:f>
        <x:v>0.00013903445668366597</x:v>
      </x:c>
      <x:c r="K121" s="369" t="n">
        <x:f>IF($A121="","",ABS(W121/(W121+U121)-'02_Constants'!$D$14)/'02_Constants'!$D$14)</x:f>
        <x:v>0.00008657424377730181</x:v>
      </x:c>
      <x:c r="L121" s="369" t="n">
        <x:f>IF($A121="","",ABS(W121/U121-'02_Constants'!$D$15)/'02_Constants'!$D$15)</x:f>
        <x:v>0.00022668606695962378</x:v>
      </x:c>
      <x:c r="M121" s="369" t="n">
        <x:f>IF($A121="","",ABS(2*A121/(90-A121)-'02_Constants'!$D$16)/'02_Constants'!$D$16)</x:f>
        <x:v>0.0005921765227707275</x:v>
      </x:c>
      <x:c r="N121" s="369" t="n">
        <x:f>IF($A121="","",ABS(2*A121/(90-A121)-1-'02_Constants'!$D$17)/'02_Constants'!$D$17)</x:f>
        <x:v>0.0009368094653781641</x:v>
      </x:c>
      <x:c r="O121" s="369" t="n">
        <x:f>IF(A121="","",AVERAGE(C121:N121))</x:f>
        <x:v>0.0002777483610535199</x:v>
      </x:c>
      <x:c r="P121" s="369" t="n">
        <x:f>IF(A121="","",SUMPRODUCT(C121:N121,'03_12_Errors'!$P$4:$AA$4)/SUM('03_12_Errors'!$P$4:$AA$4))</x:f>
        <x:v>0.0003352072994917918</x:v>
      </x:c>
      <x:c r="Q121" s="369" t="n">
        <x:f>IF(A121="","",SQRT(SUMSQ(C121:N121)/12))</x:f>
        <x:v>0.00038595696182940433</x:v>
      </x:c>
      <x:c r="R121" s="369" t="n">
        <x:f>IF(A121="","",MAX(C121:N121))</x:f>
        <x:v>0.0009368094653781641</x:v>
      </x:c>
      <x:c r="S121" s="390" t="n">
        <x:f>IF(A121="","",COUNTIF(C121:N121,"&lt;="&amp;'00_Start'!$B$7))</x:f>
        <x:v>12</x:v>
      </x:c>
      <x:c r="T121" s="365" t="n">
        <x:f>IF(A121="","",0.5*TAN(RADIANS(A121)))</x:f>
        <x:v>0.6362430877694943</x:v>
      </x:c>
      <x:c r="U121" s="365" t="n">
        <x:f>IF(A121="","",0.5)</x:f>
        <x:v>0.5</x:v>
      </x:c>
      <x:c r="V121" s="365" t="n">
        <x:f>IF(A121="","",SQRT(2))</x:f>
        <x:v>1.4142135623730951</x:v>
      </x:c>
      <x:c r="W121" s="365" t="n">
        <x:f>IF(A121="","",SQRT(T121^2+U121^2))</x:f>
        <x:v>0.8092003872555058</x:v>
      </x:c>
      <x:c r="X121" s="365" t="n">
        <x:f>IF(A121="","",SQRT(T121^2+2*U121^2))</x:f>
        <x:v>0.9512125244835985</x:v>
      </x:c>
      <x:c r="Y121" s="127"/>
      <x:c r="Z121" s="127"/>
      <x:c r="AA121" s="127"/>
      <x:c r="AB121" s="127"/>
      <x:c r="AC121" s="127"/>
      <x:c r="AD121" s="127"/>
      <x:c r="AE121" s="127"/>
      <x:c r="AF121" s="127"/>
      <x:c r="AG121" s="127"/>
      <x:c r="AH121" s="127"/>
      <x:c r="AI121" s="127"/>
      <x:c r="AJ121" s="127"/>
      <x:c r="AK121" s="127"/>
      <x:c r="AL121" s="127"/>
    </x:row>
    <x:row r="122">
      <x:c r="A122" s="367" t="n">
        <x:f>IF(A121="","",IF(A121+'00_Start'!$B$12&lt;='00_Start'!$B$11,A121+'00_Start'!$B$12,""))</x:f>
        <x:v>51.83800000000028</x:v>
      </x:c>
      <x:c r="B122" s="367" t="n">
        <x:f>IF(A122="","",2/TAN(RADIANS(A122)))</x:f>
        <x:v>1.5716980771333533</x:v>
      </x:c>
      <x:c r="C122" s="369" t="n">
        <x:f>IF($A122="","",ABS(2/T122-'02_Constants'!$D$6)/'02_Constants'!$D$6)</x:f>
        <x:v>0.0005740720952007203</x:v>
      </x:c>
      <x:c r="D122" s="369" t="n">
        <x:f>IF($A122="","",ABS(2/(T122+2*V122)-'02_Constants'!$D$7)/'02_Constants'!$D$7)</x:f>
        <x:v>0.00006574573781979232</x:v>
      </x:c>
      <x:c r="E122" s="369" t="n">
        <x:f>IF($A122="","",ABS((T122+2*V122)/2-'02_Constants'!$D$8)/'02_Constants'!$D$8)</x:f>
        <x:v>0.0001674390872858885</x:v>
      </x:c>
      <x:c r="F122" s="369" t="n">
        <x:f>IF($A122="","",ABS((T122+2*V122)/V122-'02_Constants'!$D$9)/'02_Constants'!$D$9)</x:f>
        <x:v>0.0001674390872857806</x:v>
      </x:c>
      <x:c r="G122" s="369" t="n">
        <x:f>IF($A122="","",ABS(V122-'02_Constants'!$D$10)/'02_Constants'!$D$10)</x:f>
        <x:v>0</x:v>
      </x:c>
      <x:c r="H122" s="369" t="n">
        <x:f>IF($A122="","",ABS((W122+1)/W122-'02_Constants'!$D$11)/'02_Constants'!$D$11)</x:f>
        <x:v>0.00013141764333428498</x:v>
      </x:c>
      <x:c r="I122" s="369" t="n">
        <x:f>IF($A122="","",ABS((U122+2*V122)/(W122+1)-'02_Constants'!$D$12)/'02_Constants'!$D$12)</x:f>
        <x:v>0.00023208153544113983</x:v>
      </x:c>
      <x:c r="J122" s="369" t="n">
        <x:f>IF($A122="","",ABS(X122/U122-'02_Constants'!$D$13)/'02_Constants'!$D$13)</x:f>
        <x:v>0.0001470720280951406</x:v>
      </x:c>
      <x:c r="K122" s="369" t="n">
        <x:f>IF($A122="","",ABS(W122/(W122+U122)-'02_Constants'!$D$14)/'02_Constants'!$D$14)</x:f>
        <x:v>0.00009081560490837995</x:v>
      </x:c>
      <x:c r="L122" s="369" t="n">
        <x:f>IF($A122="","",ABS(W122/U122-'02_Constants'!$D$15)/'02_Constants'!$D$15)</x:f>
        <x:v>0.00023779328235447195</x:v>
      </x:c>
      <x:c r="M122" s="369" t="n">
        <x:f>IF($A122="","",ABS(2*A122/(90-A122)-'02_Constants'!$D$16)/'02_Constants'!$D$16)</x:f>
        <x:v>0.0005694423014795787</x:v>
      </x:c>
      <x:c r="N122" s="369" t="n">
        <x:f>IF($A122="","",ABS(2*A122/(90-A122)-1-'02_Constants'!$D$17)/'02_Constants'!$D$17)</x:f>
        <x:v>0.000900844456846754</x:v>
      </x:c>
      <x:c r="O122" s="369" t="n">
        <x:f>IF(A122="","",AVERAGE(C122:N122))</x:f>
        <x:v>0.00027368023833766096</x:v>
      </x:c>
      <x:c r="P122" s="369" t="n">
        <x:f>IF(A122="","",SUMPRODUCT(C122:N122,'03_12_Errors'!$P$4:$AA$4)/SUM('03_12_Errors'!$P$4:$AA$4))</x:f>
        <x:v>0.0003292087531493944</x:v>
      </x:c>
      <x:c r="Q122" s="369" t="n">
        <x:f>IF(A122="","",SQRT(SUMSQ(C122:N122)/12))</x:f>
        <x:v>0.0003745323723576045</x:v>
      </x:c>
      <x:c r="R122" s="369" t="n">
        <x:f>IF(A122="","",MAX(C122:N122))</x:f>
        <x:v>0.000900844456846754</x:v>
      </x:c>
      <x:c r="S122" s="390" t="n">
        <x:f>IF(A122="","",COUNTIF(C122:N122,"&lt;="&amp;'00_Start'!$B$7))</x:f>
        <x:v>12</x:v>
      </x:c>
      <x:c r="T122" s="365" t="n">
        <x:f>IF(A122="","",0.5*TAN(RADIANS(A122)))</x:f>
        <x:v>0.6362545164042682</x:v>
      </x:c>
      <x:c r="U122" s="365" t="n">
        <x:f>IF(A122="","",0.5)</x:f>
        <x:v>0.5</x:v>
      </x:c>
      <x:c r="V122" s="365" t="n">
        <x:f>IF(A122="","",SQRT(2))</x:f>
        <x:v>1.4142135623730951</x:v>
      </x:c>
      <x:c r="W122" s="365" t="n">
        <x:f>IF(A122="","",SQRT(T122^2+U122^2))</x:f>
        <x:v>0.8092093731815204</x:v>
      </x:c>
      <x:c r="X122" s="365" t="n">
        <x:f>IF(A122="","",SQRT(T122^2+2*U122^2))</x:f>
        <x:v>0.9512201688593599</x:v>
      </x:c>
      <x:c r="Y122" s="127"/>
      <x:c r="Z122" s="127"/>
      <x:c r="AA122" s="127"/>
      <x:c r="AB122" s="127"/>
      <x:c r="AC122" s="127"/>
      <x:c r="AD122" s="127"/>
      <x:c r="AE122" s="127"/>
      <x:c r="AF122" s="127"/>
      <x:c r="AG122" s="127"/>
      <x:c r="AH122" s="127"/>
      <x:c r="AI122" s="127"/>
      <x:c r="AJ122" s="127"/>
      <x:c r="AK122" s="127"/>
      <x:c r="AL122" s="127"/>
    </x:row>
    <x:row r="123">
      <x:c r="A123" s="367" t="n">
        <x:f>IF(A122="","",IF(A122+'00_Start'!$B$12&lt;='00_Start'!$B$11,A122+'00_Start'!$B$12,""))</x:f>
        <x:v>51.83850000000028</x:v>
      </x:c>
      <x:c r="B123" s="367" t="n">
        <x:f>IF(A123="","",2/TAN(RADIANS(A123)))</x:f>
        <x:v>1.5716698456016007</x:v>
      </x:c>
      <x:c r="C123" s="369" t="n">
        <x:f>IF($A123="","",ABS(2/T123-'02_Constants'!$D$6)/'02_Constants'!$D$6)</x:f>
        <x:v>0.0005560993438828071</x:v>
      </x:c>
      <x:c r="D123" s="369" t="n">
        <x:f>IF($A123="","",ABS(2/(T123+2*V123)-'02_Constants'!$D$7)/'02_Constants'!$D$7)</x:f>
        <x:v>0.00006244684820083412</x:v>
      </x:c>
      <x:c r="E123" s="369" t="n">
        <x:f>IF($A123="","",ABS((T123+2*V123)/2-'02_Constants'!$D$8)/'02_Constants'!$D$8)</x:f>
        <x:v>0.00017073832324100498</x:v>
      </x:c>
      <x:c r="F123" s="369" t="n">
        <x:f>IF($A123="","",ABS((T123+2*V123)/V123-'02_Constants'!$D$9)/'02_Constants'!$D$9)</x:f>
        <x:v>0.00017073832324097468</x:v>
      </x:c>
      <x:c r="G123" s="369" t="n">
        <x:f>IF($A123="","",ABS(V123-'02_Constants'!$D$10)/'02_Constants'!$D$10)</x:f>
        <x:v>0</x:v>
      </x:c>
      <x:c r="H123" s="369" t="n">
        <x:f>IF($A123="","",ABS((W123+1)/W123-'02_Constants'!$D$11)/'02_Constants'!$D$11)</x:f>
        <x:v>0.00013755475221206015</x:v>
      </x:c>
      <x:c r="I123" s="369" t="n">
        <x:f>IF($A123="","",ABS((U123+2*V123)/(W123+1)-'02_Constants'!$D$12)/'02_Constants'!$D$12)</x:f>
        <x:v>0.00022711349347055585</x:v>
      </x:c>
      <x:c r="J123" s="369" t="n">
        <x:f>IF($A123="","",ABS(X123/U123-'02_Constants'!$D$13)/'02_Constants'!$D$13)</x:f>
        <x:v>0.0001551098578025352</x:v>
      </x:c>
      <x:c r="K123" s="369" t="n">
        <x:f>IF($A123="","",ABS(W123/(W123+U123)-'02_Constants'!$D$14)/'02_Constants'!$D$14)</x:f>
        <x:v>0.00009505703110177565</x:v>
      </x:c>
      <x:c r="L123" s="369" t="n">
        <x:f>IF($A123="","",ABS(W123/U123-'02_Constants'!$D$15)/'02_Constants'!$D$15)</x:f>
        <x:v>0.00024890082061103814</x:v>
      </x:c>
      <x:c r="M123" s="369" t="n">
        <x:f>IF($A123="","",ABS(2*A123/(90-A123)-'02_Constants'!$D$16)/'02_Constants'!$D$16)</x:f>
        <x:v>0.0005467074844512621</x:v>
      </x:c>
      <x:c r="N123" s="369" t="n">
        <x:f>IF($A123="","",ABS(2*A123/(90-A123)-1-'02_Constants'!$D$17)/'02_Constants'!$D$17)</x:f>
        <x:v>0.0008648785058730211</x:v>
      </x:c>
      <x:c r="O123" s="369" t="n">
        <x:f>IF(A123="","",AVERAGE(C123:N123))</x:f>
        <x:v>0.0002696120653406557</x:v>
      </x:c>
      <x:c r="P123" s="369" t="n">
        <x:f>IF(A123="","",SUMPRODUCT(C123:N123,'03_12_Errors'!$P$4:$AA$4)/SUM('03_12_Errors'!$P$4:$AA$4))</x:f>
        <x:v>0.0003232101760867671</x:v>
      </x:c>
      <x:c r="Q123" s="369" t="n">
        <x:f>IF(A123="","",SQRT(SUMSQ(C123:N123)/12))</x:f>
        <x:v>0.000363306747925949</x:v>
      </x:c>
      <x:c r="R123" s="369" t="n">
        <x:f>IF(A123="","",MAX(C123:N123))</x:f>
        <x:v>0.0008648785058730211</x:v>
      </x:c>
      <x:c r="S123" s="390" t="n">
        <x:f>IF(A123="","",COUNTIF(C123:N123,"&lt;="&amp;'00_Start'!$B$7))</x:f>
        <x:v>12</x:v>
      </x:c>
      <x:c r="T123" s="365" t="n">
        <x:f>IF(A123="","",0.5*TAN(RADIANS(A123)))</x:f>
        <x:v>0.6362659452928691</x:v>
      </x:c>
      <x:c r="U123" s="365" t="n">
        <x:f>IF(A123="","",0.5)</x:f>
        <x:v>0.5</x:v>
      </x:c>
      <x:c r="V123" s="365" t="n">
        <x:f>IF(A123="","",SQRT(2))</x:f>
        <x:v>1.4142135623730951</x:v>
      </x:c>
      <x:c r="W123" s="365" t="n">
        <x:f>IF(A123="","",SQRT(T123^2+U123^2))</x:f>
        <x:v>0.8092183593687357</x:v>
      </x:c>
      <x:c r="X123" s="365" t="n">
        <x:f>IF(A123="","",SQRT(T123^2+2*U123^2))</x:f>
        <x:v>0.9512278134807814</x:v>
      </x:c>
      <x:c r="Y123" s="127"/>
      <x:c r="Z123" s="127"/>
      <x:c r="AA123" s="127"/>
      <x:c r="AB123" s="127"/>
      <x:c r="AC123" s="127"/>
      <x:c r="AD123" s="127"/>
      <x:c r="AE123" s="127"/>
      <x:c r="AF123" s="127"/>
      <x:c r="AG123" s="127"/>
      <x:c r="AH123" s="127"/>
      <x:c r="AI123" s="127"/>
      <x:c r="AJ123" s="127"/>
      <x:c r="AK123" s="127"/>
      <x:c r="AL123" s="127"/>
    </x:row>
    <x:row r="124">
      <x:c r="A124" s="367" t="n">
        <x:f>IF(A123="","",IF(A123+'00_Start'!$B$12&lt;='00_Start'!$B$11,A123+'00_Start'!$B$12,""))</x:f>
        <x:v>51.83900000000028</x:v>
      </x:c>
      <x:c r="B124" s="367" t="n">
        <x:f>IF(A124="","",2/TAN(RADIANS(A124)))</x:f>
        <x:v>1.5716416144570524</x:v>
      </x:c>
      <x:c r="C124" s="369" t="n">
        <x:f>IF($A124="","",ABS(2/T124-'02_Constants'!$D$6)/'02_Constants'!$D$6)</x:f>
        <x:v>0.0005381268390667874</x:v>
      </x:c>
      <x:c r="D124" s="369" t="n">
        <x:f>IF($A124="","",ABS(2/(T124+2*V124)-'02_Constants'!$D$7)/'02_Constants'!$D$7)</x:f>
        <x:v>0.00005914790707773482</x:v>
      </x:c>
      <x:c r="E124" s="369" t="n">
        <x:f>IF($A124="","",ABS((T124+2*V124)/2-'02_Constants'!$D$8)/'02_Constants'!$D$8)</x:f>
        <x:v>0.0001740376324725376</x:v>
      </x:c>
      <x:c r="F124" s="369" t="n">
        <x:f>IF($A124="","",ABS((T124+2*V124)/V124-'02_Constants'!$D$9)/'02_Constants'!$D$9)</x:f>
        <x:v>0.00017403763247255497</x:v>
      </x:c>
      <x:c r="G124" s="369" t="n">
        <x:f>IF($A124="","",ABS(V124-'02_Constants'!$D$10)/'02_Constants'!$D$10)</x:f>
        <x:v>0</x:v>
      </x:c>
      <x:c r="H124" s="369" t="n">
        <x:f>IF($A124="","",ABS((W124+1)/W124-'02_Constants'!$D$11)/'02_Constants'!$D$11)</x:f>
        <x:v>0.00014369190317633612</x:v>
      </x:c>
      <x:c r="I124" s="369" t="n">
        <x:f>IF($A124="","",ABS((U124+2*V124)/(W124+1)-'02_Constants'!$D$12)/'02_Constants'!$D$12)</x:f>
        <x:v>0.00022214535644227328</x:v>
      </x:c>
      <x:c r="J124" s="369" t="n">
        <x:f>IF($A124="","",ABS(X124/U124-'02_Constants'!$D$13)/'02_Constants'!$D$13)</x:f>
        <x:v>0.00016314794581588884</x:v>
      </x:c>
      <x:c r="K124" s="369" t="n">
        <x:f>IF($A124="","",ABS(W124/(W124+U124)-'02_Constants'!$D$14)/'02_Constants'!$D$14)</x:f>
        <x:v>0.00009929852235820747</x:v>
      </x:c>
      <x:c r="L124" s="369" t="n">
        <x:f>IF($A124="","",ABS(W124/U124-'02_Constants'!$D$15)/'02_Constants'!$D$15)</x:f>
        <x:v>0.0002600086817413987</x:v>
      </x:c>
      <x:c r="M124" s="369" t="n">
        <x:f>IF($A124="","",ABS(2*A124/(90-A124)-'02_Constants'!$D$16)/'02_Constants'!$D$16)</x:f>
        <x:v>0.0005239720716624156</x:v>
      </x:c>
      <x:c r="N124" s="369" t="n">
        <x:f>IF($A124="","",ABS(2*A124/(90-A124)-1-'02_Constants'!$D$17)/'02_Constants'!$D$17)</x:f>
        <x:v>0.000828911612420007</x:v>
      </x:c>
      <x:c r="O124" s="369" t="n">
        <x:f>IF(A124="","",AVERAGE(C124:N124))</x:f>
        <x:v>0.00026554384205884515</x:v>
      </x:c>
      <x:c r="P124" s="369" t="n">
        <x:f>IF(A124="","",SUMPRODUCT(C124:N124,'03_12_Errors'!$P$4:$AA$4)/SUM('03_12_Errors'!$P$4:$AA$4))</x:f>
        <x:v>0.0003172115682998474</x:v>
      </x:c>
      <x:c r="Q124" s="369" t="n">
        <x:f>IF(A124="","",SQRT(SUMSQ(C124:N124)/12))</x:f>
        <x:v>0.00035229914416238606</x:v>
      </x:c>
      <x:c r="R124" s="369" t="n">
        <x:f>IF(A124="","",MAX(C124:N124))</x:f>
        <x:v>0.000828911612420007</x:v>
      </x:c>
      <x:c r="S124" s="390" t="n">
        <x:f>IF(A124="","",COUNTIF(C124:N124,"&lt;="&amp;'00_Start'!$B$7))</x:f>
        <x:v>12</x:v>
      </x:c>
      <x:c r="T124" s="365" t="n">
        <x:f>IF(A124="","",0.5*TAN(RADIANS(A124)))</x:f>
        <x:v>0.6362773744353067</x:v>
      </x:c>
      <x:c r="U124" s="365" t="n">
        <x:f>IF(A124="","",0.5)</x:f>
        <x:v>0.5</x:v>
      </x:c>
      <x:c r="V124" s="365" t="n">
        <x:f>IF(A124="","",SQRT(2))</x:f>
        <x:v>1.4142135623730951</x:v>
      </x:c>
      <x:c r="W124" s="365" t="n">
        <x:f>IF(A124="","",SQRT(T124^2+U124^2))</x:f>
        <x:v>0.8092273458171613</x:v>
      </x:c>
      <x:c r="X124" s="365" t="n">
        <x:f>IF(A124="","",SQRT(T124^2+2*U124^2))</x:f>
        <x:v>0.9512354583478727</x:v>
      </x:c>
      <x:c r="Y124" s="127"/>
      <x:c r="Z124" s="127"/>
      <x:c r="AA124" s="127"/>
      <x:c r="AB124" s="127"/>
      <x:c r="AC124" s="127"/>
      <x:c r="AD124" s="127"/>
      <x:c r="AE124" s="127"/>
      <x:c r="AF124" s="127"/>
      <x:c r="AG124" s="127"/>
      <x:c r="AH124" s="127"/>
      <x:c r="AI124" s="127"/>
      <x:c r="AJ124" s="127"/>
      <x:c r="AK124" s="127"/>
      <x:c r="AL124" s="127"/>
    </x:row>
    <x:row r="125">
      <x:c r="A125" s="367" t="n">
        <x:f>IF(A124="","",IF(A124+'00_Start'!$B$12&lt;='00_Start'!$B$11,A124+'00_Start'!$B$12,""))</x:f>
        <x:v>51.839500000000285</x:v>
      </x:c>
      <x:c r="B125" s="367" t="n">
        <x:f>IF(A125="","",2/TAN(RADIANS(A125)))</x:f>
        <x:v>1.5716133836996964</x:v>
      </x:c>
      <x:c r="C125" s="369" t="n">
        <x:f>IF($A125="","",ABS(2/T125-'02_Constants'!$D$6)/'02_Constants'!$D$6)</x:f>
        <x:v>0.0005201545807450277</x:v>
      </x:c>
      <x:c r="D125" s="369" t="n">
        <x:f>IF($A125="","",ABS(2/(T125+2*V125)-'02_Constants'!$D$7)/'02_Constants'!$D$7)</x:f>
        <x:v>0.00005584891444895571</x:v>
      </x:c>
      <x:c r="E125" s="369" t="n">
        <x:f>IF($A125="","",ABS((T125+2*V125)/2-'02_Constants'!$D$8)/'02_Constants'!$D$8)</x:f>
        <x:v>0.00017733701498330668</x:v>
      </x:c>
      <x:c r="F125" s="369" t="n">
        <x:f>IF($A125="","",ABS((T125+2*V125)/V125-'02_Constants'!$D$9)/'02_Constants'!$D$9)</x:f>
        <x:v>0.00017733701498324093</x:v>
      </x:c>
      <x:c r="G125" s="369" t="n">
        <x:f>IF($A125="","",ABS(V125-'02_Constants'!$D$10)/'02_Constants'!$D$10)</x:f>
        <x:v>0</x:v>
      </x:c>
      <x:c r="H125" s="369" t="n">
        <x:f>IF($A125="","",ABS((W125+1)/W125-'02_Constants'!$D$11)/'02_Constants'!$D$11)</x:f>
        <x:v>0.00014982909622691427</x:v>
      </x:c>
      <x:c r="I125" s="369" t="n">
        <x:f>IF($A125="","",ABS((U125+2*V125)/(W125+1)-'02_Constants'!$D$12)/'02_Constants'!$D$12)</x:f>
        <x:v>0.0002171771243543605</x:v>
      </x:c>
      <x:c r="J125" s="369" t="n">
        <x:f>IF($A125="","",ABS(X125/U125-'02_Constants'!$D$13)/'02_Constants'!$D$13)</x:f>
        <x:v>0.00017118629214617434</x:v>
      </x:c>
      <x:c r="K125" s="369" t="n">
        <x:f>IF($A125="","",ABS(W125/(W125+U125)-'02_Constants'!$D$14)/'02_Constants'!$D$14)</x:f>
        <x:v>0.00010354007867893286</x:v>
      </x:c>
      <x:c r="L125" s="369" t="n">
        <x:f>IF($A125="","",ABS(W125/U125-'02_Constants'!$D$15)/'02_Constants'!$D$15)</x:f>
        <x:v>0.00027111686575804155</x:v>
      </x:c>
      <x:c r="M125" s="369" t="n">
        <x:f>IF($A125="","",ABS(2*A125/(90-A125)-'02_Constants'!$D$16)/'02_Constants'!$D$16)</x:f>
        <x:v>0.0005012360630896771</x:v>
      </x:c>
      <x:c r="N125" s="369" t="n">
        <x:f>IF($A125="","",ABS(2*A125/(90-A125)-1-'02_Constants'!$D$17)/'02_Constants'!$D$17)</x:f>
        <x:v>0.0007929437764507534</x:v>
      </x:c>
      <x:c r="O125" s="369" t="n">
        <x:f>IF(A125="","",AVERAGE(C125:N125))</x:f>
        <x:v>0.0002614755684887821</x:v>
      </x:c>
      <x:c r="P125" s="369" t="n">
        <x:f>IF(A125="","",SUMPRODUCT(C125:N125,'03_12_Errors'!$P$4:$AA$4)/SUM('03_12_Errors'!$P$4:$AA$4))</x:f>
        <x:v>0.00031121292978481815</x:v>
      </x:c>
      <x:c r="Q125" s="369" t="n">
        <x:f>IF(A125="","",SQRT(SUMSQ(C125:N125)/12))</x:f>
        <x:v>0.00034153067910806605</x:v>
      </x:c>
      <x:c r="R125" s="369" t="n">
        <x:f>IF(A125="","",MAX(C125:N125))</x:f>
        <x:v>0.0007929437764507534</x:v>
      </x:c>
      <x:c r="S125" s="390" t="n">
        <x:f>IF(A125="","",COUNTIF(C125:N125,"&lt;="&amp;'00_Start'!$B$7))</x:f>
        <x:v>12</x:v>
      </x:c>
      <x:c r="T125" s="365" t="n">
        <x:f>IF(A125="","",0.5*TAN(RADIANS(A125)))</x:f>
        <x:v>0.6362888038315916</x:v>
      </x:c>
      <x:c r="U125" s="365" t="n">
        <x:f>IF(A125="","",0.5)</x:f>
        <x:v>0.5</x:v>
      </x:c>
      <x:c r="V125" s="365" t="n">
        <x:f>IF(A125="","",SQRT(2))</x:f>
        <x:v>1.4142135623730951</x:v>
      </x:c>
      <x:c r="W125" s="365" t="n">
        <x:f>IF(A125="","",SQRT(T125^2+U125^2))</x:f>
        <x:v>0.8092363325268074</x:v>
      </x:c>
      <x:c r="X125" s="365" t="n">
        <x:f>IF(A125="","",SQRT(T125^2+2*U125^2))</x:f>
        <x:v>0.9512431034606441</x:v>
      </x:c>
      <x:c r="Y125" s="127"/>
      <x:c r="Z125" s="127"/>
      <x:c r="AA125" s="127"/>
      <x:c r="AB125" s="127"/>
      <x:c r="AC125" s="127"/>
      <x:c r="AD125" s="127"/>
      <x:c r="AE125" s="127"/>
      <x:c r="AF125" s="127"/>
      <x:c r="AG125" s="127"/>
      <x:c r="AH125" s="127"/>
      <x:c r="AI125" s="127"/>
      <x:c r="AJ125" s="127"/>
      <x:c r="AK125" s="127"/>
      <x:c r="AL125" s="127"/>
    </x:row>
    <x:row r="126">
      <x:c r="A126" s="367" t="n">
        <x:f>IF(A125="","",IF(A125+'00_Start'!$B$12&lt;='00_Start'!$B$11,A125+'00_Start'!$B$12,""))</x:f>
        <x:v>51.84000000000029</x:v>
      </x:c>
      <x:c r="B126" s="367" t="n">
        <x:f>IF(A126="","",2/TAN(RADIANS(A126)))</x:f>
        <x:v>1.57158515332952</x:v>
      </x:c>
      <x:c r="C126" s="369" t="n">
        <x:f>IF($A126="","",ABS(2/T126-'02_Constants'!$D$6)/'02_Constants'!$D$6)</x:f>
        <x:v>0.0005021825689094705</x:v>
      </x:c>
      <x:c r="D126" s="369" t="n">
        <x:f>IF($A126="","",ABS(2/(T126+2*V126)-'02_Constants'!$D$7)/'02_Constants'!$D$7)</x:f>
        <x:v>0.000052549870312381036</x:v>
      </x:c>
      <x:c r="E126" s="369" t="n">
        <x:f>IF($A126="","",ABS((T126+2*V126)/2-'02_Constants'!$D$8)/'02_Constants'!$D$8)</x:f>
        <x:v>0.00018063647077651719</x:v>
      </x:c>
      <x:c r="F126" s="369" t="n">
        <x:f>IF($A126="","",ABS((T126+2*V126)/V126-'02_Constants'!$D$9)/'02_Constants'!$D$9)</x:f>
        <x:v>0.00018063647077647726</x:v>
      </x:c>
      <x:c r="G126" s="369" t="n">
        <x:f>IF($A126="","",ABS(V126-'02_Constants'!$D$10)/'02_Constants'!$D$10)</x:f>
        <x:v>0</x:v>
      </x:c>
      <x:c r="H126" s="369" t="n">
        <x:f>IF($A126="","",ABS((W126+1)/W126-'02_Constants'!$D$11)/'02_Constants'!$D$11)</x:f>
        <x:v>0.00015596633136300025</x:v>
      </x:c>
      <x:c r="I126" s="369" t="n">
        <x:f>IF($A126="","",ABS((U126+2*V126)/(W126+1)-'02_Constants'!$D$12)/'02_Constants'!$D$12)</x:f>
        <x:v>0.00021220879720464458</x:v>
      </x:c>
      <x:c r="J126" s="369" t="n">
        <x:f>IF($A126="","",ABS(X126/U126-'02_Constants'!$D$13)/'02_Constants'!$D$13)</x:f>
        <x:v>0.00017922489680378097</x:v>
      </x:c>
      <x:c r="K126" s="369" t="n">
        <x:f>IF($A126="","",ABS(W126/(W126+U126)-'02_Constants'!$D$14)/'02_Constants'!$D$14)</x:f>
        <x:v>0.00010778170006431112</x:v>
      </x:c>
      <x:c r="L126" s="369" t="n">
        <x:f>IF($A126="","",ABS(W126/U126-'02_Constants'!$D$15)/'02_Constants'!$D$15)</x:f>
        <x:v>0.00028222537267359206</x:v>
      </x:c>
      <x:c r="M126" s="369" t="n">
        <x:f>IF($A126="","",ABS(2*A126/(90-A126)-'02_Constants'!$D$16)/'02_Constants'!$D$16)</x:f>
        <x:v>0.00047849945870968456</x:v>
      </x:c>
      <x:c r="N126" s="369" t="n">
        <x:f>IF($A126="","",ABS(2*A126/(90-A126)-1-'02_Constants'!$D$17)/'02_Constants'!$D$17)</x:f>
        <x:v>0.000756974997928302</x:v>
      </x:c>
      <x:c r="O126" s="369" t="n">
        <x:f>IF(A126="","",AVERAGE(C126:N126))</x:f>
        <x:v>0.0002574072446268468</x:v>
      </x:c>
      <x:c r="P126" s="369" t="n">
        <x:f>IF(A126="","",SUMPRODUCT(C126:N126,'03_12_Errors'!$P$4:$AA$4)/SUM('03_12_Errors'!$P$4:$AA$4))</x:f>
        <x:v>0.00030521426053760825</x:v>
      </x:c>
      <x:c r="Q126" s="369" t="n">
        <x:f>IF(A126="","",SQRT(SUMSQ(C126:N126)/12))</x:f>
        <x:v>0.00033102472964307563</x:v>
      </x:c>
      <x:c r="R126" s="369" t="n">
        <x:f>IF(A126="","",MAX(C126:N126))</x:f>
        <x:v>0.000756974997928302</x:v>
      </x:c>
      <x:c r="S126" s="390" t="n">
        <x:f>IF(A126="","",COUNTIF(C126:N126,"&lt;="&amp;'00_Start'!$B$7))</x:f>
        <x:v>12</x:v>
      </x:c>
      <x:c r="T126" s="365" t="n">
        <x:f>IF(A126="","",0.5*TAN(RADIANS(A126)))</x:f>
        <x:v>0.6363002334817338</x:v>
      </x:c>
      <x:c r="U126" s="365" t="n">
        <x:f>IF(A126="","",0.5)</x:f>
        <x:v>0.5</x:v>
      </x:c>
      <x:c r="V126" s="365" t="n">
        <x:f>IF(A126="","",SQRT(2))</x:f>
        <x:v>1.4142135623730951</x:v>
      </x:c>
      <x:c r="W126" s="365" t="n">
        <x:f>IF(A126="","",SQRT(T126^2+U126^2))</x:f>
        <x:v>0.8092453194976842</x:v>
      </x:c>
      <x:c r="X126" s="365" t="n">
        <x:f>IF(A126="","",SQRT(T126^2+2*U126^2))</x:f>
        <x:v>0.9512507488191055</x:v>
      </x:c>
      <x:c r="Y126" s="127"/>
      <x:c r="Z126" s="127"/>
      <x:c r="AA126" s="127"/>
      <x:c r="AB126" s="127"/>
      <x:c r="AC126" s="127"/>
      <x:c r="AD126" s="127"/>
      <x:c r="AE126" s="127"/>
      <x:c r="AF126" s="127"/>
      <x:c r="AG126" s="127"/>
      <x:c r="AH126" s="127"/>
      <x:c r="AI126" s="127"/>
      <x:c r="AJ126" s="127"/>
      <x:c r="AK126" s="127"/>
      <x:c r="AL126" s="127"/>
    </x:row>
    <x:row r="127">
      <x:c r="A127" s="367" t="n">
        <x:f>IF(A126="","",IF(A126+'00_Start'!$B$12&lt;='00_Start'!$B$11,A126+'00_Start'!$B$12,""))</x:f>
        <x:v>51.84050000000029</x:v>
      </x:c>
      <x:c r="B127" s="367" t="n">
        <x:f>IF(A127="","",2/TAN(RADIANS(A127)))</x:f>
        <x:v>1.5715569233465112</x:v>
      </x:c>
      <x:c r="C127" s="369" t="n">
        <x:f>IF($A127="","",ABS(2/T127-'02_Constants'!$D$6)/'02_Constants'!$D$6)</x:f>
        <x:v>0.00048421080355248275</x:v>
      </x:c>
      <x:c r="D127" s="369" t="n">
        <x:f>IF($A127="","",ABS(2/(T127+2*V127)-'02_Constants'!$D$7)/'02_Constants'!$D$7)</x:f>
        <x:v>0.000049250774666664405</x:v>
      </x:c>
      <x:c r="E127" s="369" t="n">
        <x:f>IF($A127="","",ABS((T127+2*V127)/2-'02_Constants'!$D$8)/'02_Constants'!$D$8)</x:f>
        <x:v>0.00018393599985486124</x:v>
      </x:c>
      <x:c r="F127" s="369" t="n">
        <x:f>IF($A127="","",ABS((T127+2*V127)/V127-'02_Constants'!$D$9)/'02_Constants'!$D$9)</x:f>
        <x:v>0.00018393599985480212</x:v>
      </x:c>
      <x:c r="G127" s="369" t="n">
        <x:f>IF($A127="","",ABS(V127-'02_Constants'!$D$10)/'02_Constants'!$D$10)</x:f>
        <x:v>0</x:v>
      </x:c>
      <x:c r="H127" s="369" t="n">
        <x:f>IF($A127="","",ABS((W127+1)/W127-'02_Constants'!$D$11)/'02_Constants'!$D$11)</x:f>
        <x:v>0.00016210360858419677</x:v>
      </x:c>
      <x:c r="I127" s="369" t="n">
        <x:f>IF($A127="","",ABS((U127+2*V127)/(W127+1)-'02_Constants'!$D$12)/'02_Constants'!$D$12)</x:f>
        <x:v>0.0002072403749911939</x:v>
      </x:c>
      <x:c r="J127" s="369" t="n">
        <x:f>IF($A127="","",ABS(X127/U127-'02_Constants'!$D$13)/'02_Constants'!$D$13)</x:f>
        <x:v>0.00018726375979921466</x:v>
      </x:c>
      <x:c r="K127" s="369" t="n">
        <x:f>IF($A127="","",ABS(W127/(W127+U127)-'02_Constants'!$D$14)/'02_Constants'!$D$14)</x:f>
        <x:v>0.00011202338651559969</x:v>
      </x:c>
      <x:c r="L127" s="369" t="n">
        <x:f>IF($A127="","",ABS(W127/U127-'02_Constants'!$D$15)/'02_Constants'!$D$15)</x:f>
        <x:v>0.00029333420250026376</x:v>
      </x:c>
      <x:c r="M127" s="369" t="n">
        <x:f>IF($A127="","",ABS(2*A127/(90-A127)-'02_Constants'!$D$16)/'02_Constants'!$D$16)</x:f>
        <x:v>0.0004557622584987491</x:v>
      </x:c>
      <x:c r="N127" s="369" t="n">
        <x:f>IF($A127="","",ABS(2*A127/(90-A127)-1-'02_Constants'!$D$17)/'02_Constants'!$D$17)</x:f>
        <x:v>0.0007210052768151778</x:v>
      </x:c>
      <x:c r="O127" s="369" t="n">
        <x:f>IF(A127="","",AVERAGE(C127:N127))</x:f>
        <x:v>0.00025333887046943387</x:v>
      </x:c>
      <x:c r="P127" s="369" t="n">
        <x:f>IF(A127="","",SUMPRODUCT(C127:N127,'03_12_Errors'!$P$4:$AA$4)/SUM('03_12_Errors'!$P$4:$AA$4))</x:f>
        <x:v>0.00029921556055421955</x:v>
      </x:c>
      <x:c r="Q127" s="369" t="n">
        <x:f>IF(A127="","",SQRT(SUMSQ(C127:N127)/12))</x:f>
        <x:v>0.00032080712699821017</x:v>
      </x:c>
      <x:c r="R127" s="369" t="n">
        <x:f>IF(A127="","",MAX(C127:N127))</x:f>
        <x:v>0.0007210052768151778</x:v>
      </x:c>
      <x:c r="S127" s="390" t="n">
        <x:f>IF(A127="","",COUNTIF(C127:N127,"&lt;="&amp;'00_Start'!$B$7))</x:f>
        <x:v>12</x:v>
      </x:c>
      <x:c r="T127" s="365" t="n">
        <x:f>IF(A127="","",0.5*TAN(RADIANS(A127)))</x:f>
        <x:v>0.6363116633857435</x:v>
      </x:c>
      <x:c r="U127" s="365" t="n">
        <x:f>IF(A127="","",0.5)</x:f>
        <x:v>0.5</x:v>
      </x:c>
      <x:c r="V127" s="365" t="n">
        <x:f>IF(A127="","",SQRT(2))</x:f>
        <x:v>1.4142135623730951</x:v>
      </x:c>
      <x:c r="W127" s="365" t="n">
        <x:f>IF(A127="","",SQRT(T127^2+U127^2))</x:f>
        <x:v>0.8092543067298016</x:v>
      </x:c>
      <x:c r="X127" s="365" t="n">
        <x:f>IF(A127="","",SQRT(T127^2+2*U127^2))</x:f>
        <x:v>0.951258394423267</x:v>
      </x:c>
      <x:c r="Y127" s="127"/>
      <x:c r="Z127" s="127"/>
      <x:c r="AA127" s="127"/>
      <x:c r="AB127" s="127"/>
      <x:c r="AC127" s="127"/>
      <x:c r="AD127" s="127"/>
      <x:c r="AE127" s="127"/>
      <x:c r="AF127" s="127"/>
      <x:c r="AG127" s="127"/>
      <x:c r="AH127" s="127"/>
      <x:c r="AI127" s="127"/>
      <x:c r="AJ127" s="127"/>
      <x:c r="AK127" s="127"/>
      <x:c r="AL127" s="127"/>
    </x:row>
    <x:row r="128">
      <x:c r="A128" s="367" t="n">
        <x:f>IF(A127="","",IF(A127+'00_Start'!$B$12&lt;='00_Start'!$B$11,A127+'00_Start'!$B$12,""))</x:f>
        <x:v>51.84100000000029</x:v>
      </x:c>
      <x:c r="B128" s="367" t="n">
        <x:f>IF(A128="","",2/TAN(RADIANS(A128)))</x:f>
        <x:v>1.5715286937506574</x:v>
      </x:c>
      <x:c r="C128" s="369" t="n">
        <x:f>IF($A128="","",ABS(2/T128-'02_Constants'!$D$6)/'02_Constants'!$D$6)</x:f>
        <x:v>0.0004662392846660068</x:v>
      </x:c>
      <x:c r="D128" s="369" t="n">
        <x:f>IF($A128="","",ABS(2/(T128+2*V128)-'02_Constants'!$D$7)/'02_Constants'!$D$7)</x:f>
        <x:v>0.00004595162750988241</x:v>
      </x:c>
      <x:c r="E128" s="369" t="n">
        <x:f>IF($A128="","",ABS((T128+2*V128)/2-'02_Constants'!$D$8)/'02_Constants'!$D$8)</x:f>
        <x:v>0.0001872356022215438</x:v>
      </x:c>
      <x:c r="F128" s="369" t="n">
        <x:f>IF($A128="","",ABS((T128+2*V128)/V128-'02_Constants'!$D$9)/'02_Constants'!$D$9)</x:f>
        <x:v>0.00018723560222147888</x:v>
      </x:c>
      <x:c r="G128" s="369" t="n">
        <x:f>IF($A128="","",ABS(V128-'02_Constants'!$D$10)/'02_Constants'!$D$10)</x:f>
        <x:v>0</x:v>
      </x:c>
      <x:c r="H128" s="369" t="n">
        <x:f>IF($A128="","",ABS((W128+1)/W128-'02_Constants'!$D$11)/'02_Constants'!$D$11)</x:f>
        <x:v>0.00016824092789030528</x:v>
      </x:c>
      <x:c r="I128" s="369" t="n">
        <x:f>IF($A128="","",ABS((U128+2*V128)/(W128+1)-'02_Constants'!$D$12)/'02_Constants'!$D$12)</x:f>
        <x:v>0.0002022718577121976</x:v>
      </x:c>
      <x:c r="J128" s="369" t="n">
        <x:f>IF($A128="","",ABS(X128/U128-'02_Constants'!$D$13)/'02_Constants'!$D$13)</x:f>
        <x:v>0.00019530288114321485</x:v>
      </x:c>
      <x:c r="K128" s="369" t="n">
        <x:f>IF($A128="","",ABS(W128/(W128+U128)-'02_Constants'!$D$14)/'02_Constants'!$D$14)</x:f>
        <x:v>0.00011626513803351712</x:v>
      </x:c>
      <x:c r="L128" s="369" t="n">
        <x:f>IF($A128="","",ABS(W128/U128-'02_Constants'!$D$15)/'02_Constants'!$D$15)</x:f>
        <x:v>0.00030444335525068195</x:v>
      </x:c>
      <x:c r="M128" s="369" t="n">
        <x:f>IF($A128="","",ABS(2*A128/(90-A128)-'02_Constants'!$D$16)/'02_Constants'!$D$16)</x:f>
        <x:v>0.000433024462433672</x:v>
      </x:c>
      <x:c r="N128" s="369" t="n">
        <x:f>IF($A128="","",ABS(2*A128/(90-A128)-1-'02_Constants'!$D$17)/'02_Constants'!$D$17)</x:f>
        <x:v>0.0006850346130746808</x:v>
      </x:c>
      <x:c r="O128" s="369" t="n">
        <x:f>IF(A128="","",AVERAGE(C128:N128))</x:f>
        <x:v>0.0002492704460130984</x:v>
      </x:c>
      <x:c r="P128" s="369" t="n">
        <x:f>IF(A128="","",SUMPRODUCT(C128:N128,'03_12_Errors'!$P$4:$AA$4)/SUM('03_12_Errors'!$P$4:$AA$4))</x:f>
        <x:v>0.00029321682983078867</x:v>
      </x:c>
      <x:c r="Q128" s="369" t="n">
        <x:f>IF(A128="","",SQRT(SUMSQ(C128:N128)/12))</x:f>
        <x:v>0.0003109063415768418</x:v>
      </x:c>
      <x:c r="R128" s="369" t="n">
        <x:f>IF(A128="","",MAX(C128:N128))</x:f>
        <x:v>0.0006850346130746808</x:v>
      </x:c>
      <x:c r="S128" s="390" t="n">
        <x:f>IF(A128="","",COUNTIF(C128:N128,"&lt;="&amp;'00_Start'!$B$7))</x:f>
        <x:v>12</x:v>
      </x:c>
      <x:c r="T128" s="365" t="n">
        <x:f>IF(A128="","",0.5*TAN(RADIANS(A128)))</x:f>
        <x:v>0.6363230935436311</x:v>
      </x:c>
      <x:c r="U128" s="365" t="n">
        <x:f>IF(A128="","",0.5)</x:f>
        <x:v>0.5</x:v>
      </x:c>
      <x:c r="V128" s="365" t="n">
        <x:f>IF(A128="","",SQRT(2))</x:f>
        <x:v>1.4142135623730951</x:v>
      </x:c>
      <x:c r="W128" s="365" t="n">
        <x:f>IF(A128="","",SQRT(T128^2+U128^2))</x:f>
        <x:v>0.8092632942231698</x:v>
      </x:c>
      <x:c r="X128" s="365" t="n">
        <x:f>IF(A128="","",SQRT(T128^2+2*U128^2))</x:f>
        <x:v>0.9512660402731387</x:v>
      </x:c>
      <x:c r="Y128" s="127"/>
      <x:c r="Z128" s="127"/>
      <x:c r="AA128" s="127"/>
      <x:c r="AB128" s="127"/>
      <x:c r="AC128" s="127"/>
      <x:c r="AD128" s="127"/>
      <x:c r="AE128" s="127"/>
      <x:c r="AF128" s="127"/>
      <x:c r="AG128" s="127"/>
      <x:c r="AH128" s="127"/>
      <x:c r="AI128" s="127"/>
      <x:c r="AJ128" s="127"/>
      <x:c r="AK128" s="127"/>
      <x:c r="AL128" s="127"/>
    </x:row>
    <x:row r="129">
      <x:c r="A129" s="367" t="n">
        <x:f>IF(A128="","",IF(A128+'00_Start'!$B$12&lt;='00_Start'!$B$11,A128+'00_Start'!$B$12,""))</x:f>
        <x:v>51.841500000000295</x:v>
      </x:c>
      <x:c r="B129" s="367" t="n">
        <x:f>IF(A129="","",2/TAN(RADIANS(A129)))</x:f>
        <x:v>1.5715004645419466</x:v>
      </x:c>
      <x:c r="C129" s="369" t="n">
        <x:f>IF($A129="","",ABS(2/T129-'02_Constants'!$D$6)/'02_Constants'!$D$6)</x:f>
        <x:v>0.0004482680122424095</x:v>
      </x:c>
      <x:c r="D129" s="369" t="n">
        <x:f>IF($A129="","",ABS(2/(T129+2*V129)-'02_Constants'!$D$7)/'02_Constants'!$D$7)</x:f>
        <x:v>0.00004265242884030398</x:v>
      </x:c>
      <x:c r="E129" s="369" t="n">
        <x:f>IF($A129="","",ABS((T129+2*V129)/2-'02_Constants'!$D$8)/'02_Constants'!$D$8)</x:f>
        <x:v>0.0001905352778793852</x:v>
      </x:c>
      <x:c r="F129" s="369" t="n">
        <x:f>IF($A129="","",ABS((T129+2*V129)/V129-'02_Constants'!$D$9)/'02_Constants'!$D$9)</x:f>
        <x:v>0.00019053527787940837</x:v>
      </x:c>
      <x:c r="G129" s="369" t="n">
        <x:f>IF($A129="","",ABS(V129-'02_Constants'!$D$10)/'02_Constants'!$D$10)</x:f>
        <x:v>0</x:v>
      </x:c>
      <x:c r="H129" s="369" t="n">
        <x:f>IF($A129="","",ABS((W129+1)/W129-'02_Constants'!$D$11)/'02_Constants'!$D$11)</x:f>
        <x:v>0.00017437828928092857</x:v>
      </x:c>
      <x:c r="I129" s="369" t="n">
        <x:f>IF($A129="","",ABS((U129+2*V129)/(W129+1)-'02_Constants'!$D$12)/'02_Constants'!$D$12)</x:f>
        <x:v>0.00019730324536548267</x:v>
      </x:c>
      <x:c r="J129" s="369" t="n">
        <x:f>IF($A129="","",ABS(X129/U129-'02_Constants'!$D$13)/'02_Constants'!$D$13)</x:f>
        <x:v>0.0002033422608462875</x:v>
      </x:c>
      <x:c r="K129" s="369" t="n">
        <x:f>IF($A129="","",ABS(W129/(W129+U129)-'02_Constants'!$D$14)/'02_Constants'!$D$14)</x:f>
        <x:v>0.00012050695461932089</x:v>
      </x:c>
      <x:c r="L129" s="369" t="n">
        <x:f>IF($A129="","",ABS(W129/U129-'02_Constants'!$D$15)/'02_Constants'!$D$15)</x:f>
        <x:v>0.0003155528309373346</x:v>
      </x:c>
      <x:c r="M129" s="369" t="n">
        <x:f>IF($A129="","",ABS(2*A129/(90-A129)-'02_Constants'!$D$16)/'02_Constants'!$D$16)</x:f>
        <x:v>0.0004102860704910911</x:v>
      </x:c>
      <x:c r="N129" s="369" t="n">
        <x:f>IF($A129="","",ABS(2*A129/(90-A129)-1-'02_Constants'!$D$17)/'02_Constants'!$D$17)</x:f>
        <x:v>0.0006490630066698527</x:v>
      </x:c>
      <x:c r="O129" s="369" t="n">
        <x:f>IF(A129="","",AVERAGE(C129:N129))</x:f>
        <x:v>0.0002452019712543171</x:v>
      </x:c>
      <x:c r="P129" s="369" t="n">
        <x:f>IF(A129="","",SUMPRODUCT(C129:N129,'03_12_Errors'!$P$4:$AA$4)/SUM('03_12_Errors'!$P$4:$AA$4))</x:f>
        <x:v>0.00028721806836336873</x:v>
      </x:c>
      <x:c r="Q129" s="369" t="n">
        <x:f>IF(A129="","",SQRT(SUMSQ(C129:N129)/12))</x:f>
        <x:v>0.00030135364325818676</x:v>
      </x:c>
      <x:c r="R129" s="369" t="n">
        <x:f>IF(A129="","",MAX(C129:N129))</x:f>
        <x:v>0.0006490630066698527</x:v>
      </x:c>
      <x:c r="S129" s="390" t="n">
        <x:f>IF(A129="","",COUNTIF(C129:N129,"&lt;="&amp;'00_Start'!$B$7))</x:f>
        <x:v>12</x:v>
      </x:c>
      <x:c r="T129" s="365" t="n">
        <x:f>IF(A129="","",0.5*TAN(RADIANS(A129)))</x:f>
        <x:v>0.6363345239554067</x:v>
      </x:c>
      <x:c r="U129" s="365" t="n">
        <x:f>IF(A129="","",0.5)</x:f>
        <x:v>0.5</x:v>
      </x:c>
      <x:c r="V129" s="365" t="n">
        <x:f>IF(A129="","",SQRT(2))</x:f>
        <x:v>1.4142135623730951</x:v>
      </x:c>
      <x:c r="W129" s="365" t="n">
        <x:f>IF(A129="","",SQRT(T129^2+U129^2))</x:f>
        <x:v>0.8092722819777989</x:v>
      </x:c>
      <x:c r="X129" s="365" t="n">
        <x:f>IF(A129="","",SQRT(T129^2+2*U129^2))</x:f>
        <x:v>0.9512736863687306</x:v>
      </x:c>
      <x:c r="Y129" s="127"/>
      <x:c r="Z129" s="127"/>
      <x:c r="AA129" s="127"/>
      <x:c r="AB129" s="127"/>
      <x:c r="AC129" s="127"/>
      <x:c r="AD129" s="127"/>
      <x:c r="AE129" s="127"/>
      <x:c r="AF129" s="127"/>
      <x:c r="AG129" s="127"/>
      <x:c r="AH129" s="127"/>
      <x:c r="AI129" s="127"/>
      <x:c r="AJ129" s="127"/>
      <x:c r="AK129" s="127"/>
      <x:c r="AL129" s="127"/>
    </x:row>
    <x:row r="130">
      <x:c r="A130" s="367" t="n">
        <x:f>IF(A129="","",IF(A129+'00_Start'!$B$12&lt;='00_Start'!$B$11,A129+'00_Start'!$B$12,""))</x:f>
        <x:v>51.8420000000003</x:v>
      </x:c>
      <x:c r="B130" s="367" t="n">
        <x:f>IF(A130="","",2/TAN(RADIANS(A130)))</x:f>
        <x:v>1.5714722357203668</x:v>
      </x:c>
      <x:c r="C130" s="369" t="n">
        <x:f>IF($A130="","",ABS(2/T130-'02_Constants'!$D$6)/'02_Constants'!$D$6)</x:f>
        <x:v>0.00043029698627405737</x:v>
      </x:c>
      <x:c r="D130" s="369" t="n">
        <x:f>IF($A130="","",ABS(2/(T130+2*V130)-'02_Constants'!$D$7)/'02_Constants'!$D$7)</x:f>
        <x:v>0.00003935317865639038</x:v>
      </x:c>
      <x:c r="E130" s="369" t="n">
        <x:f>IF($A130="","",ABS((T130+2*V130)/2-'02_Constants'!$D$8)/'02_Constants'!$D$8)</x:f>
        <x:v>0.00019383502683120577</x:v>
      </x:c>
      <x:c r="F130" s="369" t="n">
        <x:f>IF($A130="","",ABS((T130+2*V130)/V130-'02_Constants'!$D$9)/'02_Constants'!$D$9)</x:f>
        <x:v>0.0001938350268311287</x:v>
      </x:c>
      <x:c r="G130" s="369" t="n">
        <x:f>IF($A130="","",ABS(V130-'02_Constants'!$D$10)/'02_Constants'!$D$10)</x:f>
        <x:v>0</x:v>
      </x:c>
      <x:c r="H130" s="369" t="n">
        <x:f>IF($A130="","",ABS((W130+1)/W130-'02_Constants'!$D$11)/'02_Constants'!$D$11)</x:f>
        <x:v>0.00018051569275507364</x:v>
      </x:c>
      <x:c r="I130" s="369" t="n">
        <x:f>IF($A130="","",ABS((U130+2*V130)/(W130+1)-'02_Constants'!$D$12)/'02_Constants'!$D$12)</x:f>
        <x:v>0.00019233453794911758</x:v>
      </x:c>
      <x:c r="J130" s="369" t="n">
        <x:f>IF($A130="","",ABS(X130/U130-'02_Constants'!$D$13)/'02_Constants'!$D$13)</x:f>
        <x:v>0.0002113818989189385</x:v>
      </x:c>
      <x:c r="K130" s="369" t="n">
        <x:f>IF($A130="","",ABS(W130/(W130+U130)-'02_Constants'!$D$14)/'02_Constants'!$D$14)</x:f>
        <x:v>0.00012474883627319064</x:v>
      </x:c>
      <x:c r="L130" s="369" t="n">
        <x:f>IF($A130="","",ABS(W130/U130-'02_Constants'!$D$15)/'02_Constants'!$D$15)</x:f>
        <x:v>0.0003266626295722981</x:v>
      </x:c>
      <x:c r="M130" s="369" t="n">
        <x:f>IF($A130="","",ABS(2*A130/(90-A130)-'02_Constants'!$D$16)/'02_Constants'!$D$16)</x:f>
        <x:v>0.00038754708264731767</x:v>
      </x:c>
      <x:c r="N130" s="369" t="n">
        <x:f>IF($A130="","",ABS(2*A130/(90-A130)-1-'02_Constants'!$D$17)/'02_Constants'!$D$17)</x:f>
        <x:v>0.0006130904575632183</x:v>
      </x:c>
      <x:c r="O130" s="369" t="n">
        <x:f>IF(A130="","",AVERAGE(C130:N130))</x:f>
        <x:v>0.00024113344618932806</x:v>
      </x:c>
      <x:c r="P130" s="369" t="n">
        <x:f>IF(A130="","",SUMPRODUCT(C130:N130,'03_12_Errors'!$P$4:$AA$4)/SUM('03_12_Errors'!$P$4:$AA$4))</x:f>
        <x:v>0.0002812192761478573</x:v>
      </x:c>
      <x:c r="Q130" s="369" t="n">
        <x:f>IF(A130="","",SQRT(SUMSQ(C130:N130)/12))</x:f>
        <x:v>0.0002921832184126689</x:v>
      </x:c>
      <x:c r="R130" s="369" t="n">
        <x:f>IF(A130="","",MAX(C130:N130))</x:f>
        <x:v>0.0006130904575632183</x:v>
      </x:c>
      <x:c r="S130" s="390" t="n">
        <x:f>IF(A130="","",COUNTIF(C130:N130,"&lt;="&amp;'00_Start'!$B$7))</x:f>
        <x:v>12</x:v>
      </x:c>
      <x:c r="T130" s="365" t="n">
        <x:f>IF(A130="","",0.5*TAN(RADIANS(A130)))</x:f>
        <x:v>0.6363459546210802</x:v>
      </x:c>
      <x:c r="U130" s="365" t="n">
        <x:f>IF(A130="","",0.5)</x:f>
        <x:v>0.5</x:v>
      </x:c>
      <x:c r="V130" s="365" t="n">
        <x:f>IF(A130="","",SQRT(2))</x:f>
        <x:v>1.4142135623730951</x:v>
      </x:c>
      <x:c r="W130" s="365" t="n">
        <x:f>IF(A130="","",SQRT(T130^2+U130^2))</x:f>
        <x:v>0.8092812699936986</x:v>
      </x:c>
      <x:c r="X130" s="365" t="n">
        <x:f>IF(A130="","",SQRT(T130^2+2*U130^2))</x:f>
        <x:v>0.9512813327100527</x:v>
      </x:c>
      <x:c r="Y130" s="127"/>
      <x:c r="Z130" s="127"/>
      <x:c r="AA130" s="127"/>
      <x:c r="AB130" s="127"/>
      <x:c r="AC130" s="127"/>
      <x:c r="AD130" s="127"/>
      <x:c r="AE130" s="127"/>
      <x:c r="AF130" s="127"/>
      <x:c r="AG130" s="127"/>
      <x:c r="AH130" s="127"/>
      <x:c r="AI130" s="127"/>
      <x:c r="AJ130" s="127"/>
      <x:c r="AK130" s="127"/>
      <x:c r="AL130" s="127"/>
    </x:row>
    <x:row r="131">
      <x:c r="A131" s="367" t="n">
        <x:f>IF(A130="","",IF(A130+'00_Start'!$B$12&lt;='00_Start'!$B$11,A130+'00_Start'!$B$12,""))</x:f>
        <x:v>51.8425000000003</x:v>
      </x:c>
      <x:c r="B131" s="367" t="n">
        <x:f>IF(A131="","",2/TAN(RADIANS(A131)))</x:f>
        <x:v>1.5714440072859053</x:v>
      </x:c>
      <x:c r="C131" s="369" t="n">
        <x:f>IF($A131="","",ABS(2/T131-'02_Constants'!$D$6)/'02_Constants'!$D$6)</x:f>
        <x:v>0.00041232620675289304</x:v>
      </x:c>
      <x:c r="D131" s="369" t="n">
        <x:f>IF($A131="","",ABS(2/(T131+2*V131)-'02_Constants'!$D$7)/'02_Constants'!$D$7)</x:f>
        <x:v>0.000036053876956410554</x:v>
      </x:c>
      <x:c r="E131" s="369" t="n">
        <x:f>IF($A131="","",ABS((T131+2*V131)/2-'02_Constants'!$D$8)/'02_Constants'!$D$8)</x:f>
        <x:v>0.00019713484908008227</x:v>
      </x:c>
      <x:c r="F131" s="369" t="n">
        <x:f>IF($A131="","",ABS((T131+2*V131)/V131-'02_Constants'!$D$9)/'02_Constants'!$D$9)</x:f>
        <x:v>0.0001971348490800846</x:v>
      </x:c>
      <x:c r="G131" s="369" t="n">
        <x:f>IF($A131="","",ABS(V131-'02_Constants'!$D$10)/'02_Constants'!$D$10)</x:f>
        <x:v>0</x:v>
      </x:c>
      <x:c r="H131" s="369" t="n">
        <x:f>IF($A131="","",ABS((W131+1)/W131-'02_Constants'!$D$11)/'02_Constants'!$D$11)</x:f>
        <x:v>0.00018665313831254184</x:v>
      </x:c>
      <x:c r="I131" s="369" t="n">
        <x:f>IF($A131="","",ABS((U131+2*V131)/(W131+1)-'02_Constants'!$D$12)/'02_Constants'!$D$12)</x:f>
        <x:v>0.00018736573546092924</x:v>
      </x:c>
      <x:c r="J131" s="369" t="n">
        <x:f>IF($A131="","",ABS(X131/U131-'02_Constants'!$D$13)/'02_Constants'!$D$13)</x:f>
        <x:v>0.00021942179537179064</x:v>
      </x:c>
      <x:c r="K131" s="369" t="n">
        <x:f>IF($A131="","",ABS(W131/(W131+U131)-'02_Constants'!$D$14)/'02_Constants'!$D$14)</x:f>
        <x:v>0.00012899078299656347</x:v>
      </x:c>
      <x:c r="L131" s="369" t="n">
        <x:f>IF($A131="","",ABS(W131/U131-'02_Constants'!$D$15)/'02_Constants'!$D$15)</x:f>
        <x:v>0.0003377727511686094</x:v>
      </x:c>
      <x:c r="M131" s="369" t="n">
        <x:f>IF($A131="","",ABS(2*A131/(90-A131)-'02_Constants'!$D$16)/'02_Constants'!$D$16)</x:f>
        <x:v>0.0003648074988791529</x:v>
      </x:c>
      <x:c r="N131" s="369" t="n">
        <x:f>IF($A131="","",ABS(2*A131/(90-A131)-1-'02_Constants'!$D$17)/'02_Constants'!$D$17)</x:f>
        <x:v>0.0005771169657180779</x:v>
      </x:c>
      <x:c r="O131" s="369" t="n">
        <x:f>IF(A131="","",AVERAGE(C131:N131))</x:f>
        <x:v>0.0002370648708147613</x:v>
      </x:c>
      <x:c r="P131" s="369" t="n">
        <x:f>IF(A131="","",SUMPRODUCT(C131:N131,'03_12_Errors'!$P$4:$AA$4)/SUM('03_12_Errors'!$P$4:$AA$4))</x:f>
        <x:v>0.00027522045318038765</x:v>
      </x:c>
      <x:c r="Q131" s="369" t="n">
        <x:f>IF(A131="","",SQRT(SUMSQ(C131:N131)/12))</x:f>
        <x:v>0.00028343221916088537</x:v>
      </x:c>
      <x:c r="R131" s="369" t="n">
        <x:f>IF(A131="","",MAX(C131:N131))</x:f>
        <x:v>0.0005771169657180779</x:v>
      </x:c>
      <x:c r="S131" s="390" t="n">
        <x:f>IF(A131="","",COUNTIF(C131:N131,"&lt;="&amp;'00_Start'!$B$7))</x:f>
        <x:v>12</x:v>
      </x:c>
      <x:c r="T131" s="365" t="n">
        <x:f>IF(A131="","",0.5*TAN(RADIANS(A131)))</x:f>
        <x:v>0.6363573855406622</x:v>
      </x:c>
      <x:c r="U131" s="365" t="n">
        <x:f>IF(A131="","",0.5)</x:f>
        <x:v>0.5</x:v>
      </x:c>
      <x:c r="V131" s="365" t="n">
        <x:f>IF(A131="","",SQRT(2))</x:f>
        <x:v>1.4142135623730951</x:v>
      </x:c>
      <x:c r="W131" s="365" t="n">
        <x:f>IF(A131="","",SQRT(T131^2+U131^2))</x:f>
        <x:v>0.8092902582708796</x:v>
      </x:c>
      <x:c r="X131" s="365" t="n">
        <x:f>IF(A131="","",SQRT(T131^2+2*U131^2))</x:f>
        <x:v>0.9512889792971151</x:v>
      </x:c>
      <x:c r="Y131" s="127"/>
      <x:c r="Z131" s="127"/>
      <x:c r="AA131" s="127"/>
      <x:c r="AB131" s="127"/>
      <x:c r="AC131" s="127"/>
      <x:c r="AD131" s="127"/>
      <x:c r="AE131" s="127"/>
      <x:c r="AF131" s="127"/>
      <x:c r="AG131" s="127"/>
      <x:c r="AH131" s="127"/>
      <x:c r="AI131" s="127"/>
      <x:c r="AJ131" s="127"/>
      <x:c r="AK131" s="127"/>
      <x:c r="AL131" s="127"/>
    </x:row>
    <x:row r="132">
      <x:c r="A132" s="367" t="n">
        <x:f>IF(A131="","",IF(A131+'00_Start'!$B$12&lt;='00_Start'!$B$11,A131+'00_Start'!$B$12,""))</x:f>
        <x:v>51.8430000000003</x:v>
      </x:c>
      <x:c r="B132" s="367" t="n">
        <x:f>IF(A132="","",2/TAN(RADIANS(A132)))</x:f>
        <x:v>1.5714157792385501</x:v>
      </x:c>
      <x:c r="C132" s="369" t="n">
        <x:f>IF($A132="","",ABS(2/T132-'02_Constants'!$D$6)/'02_Constants'!$D$6)</x:f>
        <x:v>0.00039435567367128324</x:v>
      </x:c>
      <x:c r="D132" s="369" t="n">
        <x:f>IF($A132="","",ABS(2/(T132+2*V132)-'02_Constants'!$D$7)/'02_Constants'!$D$7)</x:f>
        <x:v>0.00003275452373863342</x:v>
      </x:c>
      <x:c r="E132" s="369" t="n">
        <x:f>IF($A132="","",ABS((T132+2*V132)/2-'02_Constants'!$D$8)/'02_Constants'!$D$8)</x:f>
        <x:v>0.00020043474462883506</x:v>
      </x:c>
      <x:c r="F132" s="369" t="n">
        <x:f>IF($A132="","",ABS((T132+2*V132)/V132-'02_Constants'!$D$9)/'02_Constants'!$D$9)</x:f>
        <x:v>0.00020043474462881421</x:v>
      </x:c>
      <x:c r="G132" s="369" t="n">
        <x:f>IF($A132="","",ABS(V132-'02_Constants'!$D$10)/'02_Constants'!$D$10)</x:f>
        <x:v>0</x:v>
      </x:c>
      <x:c r="H132" s="369" t="n">
        <x:f>IF($A132="","",ABS((W132+1)/W132-'02_Constants'!$D$11)/'02_Constants'!$D$11)</x:f>
        <x:v>0.000192790625952936</x:v>
      </x:c>
      <x:c r="I132" s="369" t="n">
        <x:f>IF($A132="","",ABS((U132+2*V132)/(W132+1)-'02_Constants'!$D$12)/'02_Constants'!$D$12)</x:f>
        <x:v>0.0001823968378992276</x:v>
      </x:c>
      <x:c r="J132" s="369" t="n">
        <x:f>IF($A132="","",ABS(X132/U132-'02_Constants'!$D$13)/'02_Constants'!$D$13)</x:f>
        <x:v>0.00022746195021523309</x:v>
      </x:c>
      <x:c r="K132" s="369" t="n">
        <x:f>IF($A132="","",ABS(W132/(W132+U132)-'02_Constants'!$D$14)/'02_Constants'!$D$14)</x:f>
        <x:v>0.00013323279478997827</x:v>
      </x:c>
      <x:c r="L132" s="369" t="n">
        <x:f>IF($A132="","",ABS(W132/U132-'02_Constants'!$D$15)/'02_Constants'!$D$15)</x:f>
        <x:v>0.0003488831957380703</x:v>
      </x:c>
      <x:c r="M132" s="369" t="n">
        <x:f>IF($A132="","",ABS(2*A132/(90-A132)-'02_Constants'!$D$16)/'02_Constants'!$D$16)</x:f>
        <x:v>0.00034206731916307145</x:v>
      </x:c>
      <x:c r="N132" s="369" t="n">
        <x:f>IF($A132="","",ABS(2*A132/(90-A132)-1-'02_Constants'!$D$17)/'02_Constants'!$D$17)</x:f>
        <x:v>0.0005411425310972146</x:v>
      </x:c>
      <x:c r="O132" s="369" t="n">
        <x:f>IF(A132="","",AVERAGE(C132:N132))</x:f>
        <x:v>0.00023299624512694147</x:v>
      </x:c>
      <x:c r="P132" s="369" t="n">
        <x:f>IF(A132="","",SUMPRODUCT(C132:N132,'03_12_Errors'!$P$4:$AA$4)/SUM('03_12_Errors'!$P$4:$AA$4))</x:f>
        <x:v>0.00026922159945694046</x:v>
      </x:c>
      <x:c r="Q132" s="369" t="n">
        <x:f>IF(A132="","",SQRT(SUMSQ(C132:N132)/12))</x:f>
        <x:v>0.0002751407143468089</x:v>
      </x:c>
      <x:c r="R132" s="369" t="n">
        <x:f>IF(A132="","",MAX(C132:N132))</x:f>
        <x:v>0.0005411425310972146</x:v>
      </x:c>
      <x:c r="S132" s="390" t="n">
        <x:f>IF(A132="","",COUNTIF(C132:N132,"&lt;="&amp;'00_Start'!$B$7))</x:f>
        <x:v>12</x:v>
      </x:c>
      <x:c r="T132" s="365" t="n">
        <x:f>IF(A132="","",0.5*TAN(RADIANS(A132)))</x:f>
        <x:v>0.6363688167141627</x:v>
      </x:c>
      <x:c r="U132" s="365" t="n">
        <x:f>IF(A132="","",0.5)</x:f>
        <x:v>0.5</x:v>
      </x:c>
      <x:c r="V132" s="365" t="n">
        <x:f>IF(A132="","",SQRT(2))</x:f>
        <x:v>1.4142135623730951</x:v>
      </x:c>
      <x:c r="W132" s="365" t="n">
        <x:f>IF(A132="","",SQRT(T132^2+U132^2))</x:f>
        <x:v>0.8092992468093514</x:v>
      </x:c>
      <x:c r="X132" s="365" t="n">
        <x:f>IF(A132="","",SQRT(T132^2+2*U132^2))</x:f>
        <x:v>0.9512966261299277</x:v>
      </x:c>
      <x:c r="Y132" s="127"/>
      <x:c r="Z132" s="127"/>
      <x:c r="AA132" s="127"/>
      <x:c r="AB132" s="127"/>
      <x:c r="AC132" s="127"/>
      <x:c r="AD132" s="127"/>
      <x:c r="AE132" s="127"/>
      <x:c r="AF132" s="127"/>
      <x:c r="AG132" s="127"/>
      <x:c r="AH132" s="127"/>
      <x:c r="AI132" s="127"/>
      <x:c r="AJ132" s="127"/>
      <x:c r="AK132" s="127"/>
      <x:c r="AL132" s="127"/>
    </x:row>
    <x:row r="133">
      <x:c r="A133" s="367" t="n">
        <x:f>IF(A132="","",IF(A132+'00_Start'!$B$12&lt;='00_Start'!$B$11,A132+'00_Start'!$B$12,""))</x:f>
        <x:v>51.843500000000304</x:v>
      </x:c>
      <x:c r="B133" s="367" t="n">
        <x:f>IF(A133="","",2/TAN(RADIANS(A133)))</x:f>
        <x:v>1.5713875515782882</x:v>
      </x:c>
      <x:c r="C133" s="369" t="n">
        <x:f>IF($A133="","",ABS(2/T133-'02_Constants'!$D$6)/'02_Constants'!$D$6)</x:f>
        <x:v>0.00037638538702088785</x:v>
      </x:c>
      <x:c r="D133" s="369" t="n">
        <x:f>IF($A133="","",ABS(2/(T133+2*V133)-'02_Constants'!$D$7)/'02_Constants'!$D$7)</x:f>
        <x:v>0.00002945511900113557</x:v>
      </x:c>
      <x:c r="E133" s="369" t="n">
        <x:f>IF($A133="","",ABS((T133+2*V133)/2-'02_Constants'!$D$8)/'02_Constants'!$D$8)</x:f>
        <x:v>0.00020373471348066903</x:v>
      </x:c>
      <x:c r="F133" s="369" t="n">
        <x:f>IF($A133="","",ABS((T133+2*V133)/V133-'02_Constants'!$D$9)/'02_Constants'!$D$9)</x:f>
        <x:v>0.00020373471348058094</x:v>
      </x:c>
      <x:c r="G133" s="369" t="n">
        <x:f>IF($A133="","",ABS(V133-'02_Constants'!$D$10)/'02_Constants'!$D$10)</x:f>
        <x:v>0</x:v>
      </x:c>
      <x:c r="H133" s="369" t="n">
        <x:f>IF($A133="","",ABS((W133+1)/W133-'02_Constants'!$D$11)/'02_Constants'!$D$11)</x:f>
        <x:v>0.0001989281556758589</x:v>
      </x:c>
      <x:c r="I133" s="369" t="n">
        <x:f>IF($A133="","",ABS((U133+2*V133)/(W133+1)-'02_Constants'!$D$12)/'02_Constants'!$D$12)</x:f>
        <x:v>0.00017742784526159812</x:v>
      </x:c>
      <x:c r="J133" s="369" t="n">
        <x:f>IF($A133="","",ABS(X133/U133-'02_Constants'!$D$13)/'02_Constants'!$D$13)</x:f>
        <x:v>0.00023550236346023872</x:v>
      </x:c>
      <x:c r="K133" s="369" t="n">
        <x:f>IF($A133="","",ABS(W133/(W133+U133)-'02_Constants'!$D$14)/'02_Constants'!$D$14)</x:f>
        <x:v>0.00013747487165469252</x:v>
      </x:c>
      <x:c r="L133" s="369" t="n">
        <x:f>IF($A133="","",ABS(W133/U133-'02_Constants'!$D$15)/'02_Constants'!$D$15)</x:f>
        <x:v>0.0003599939632938551</x:v>
      </x:c>
      <x:c r="M133" s="369" t="n">
        <x:f>IF($A133="","",ABS(2*A133/(90-A133)-'02_Constants'!$D$16)/'02_Constants'!$D$16)</x:f>
        <x:v>0.0003193265434757111</x:v>
      </x:c>
      <x:c r="N133" s="369" t="n">
        <x:f>IF($A133="","",ABS(2*A133/(90-A133)-1-'02_Constants'!$D$17)/'02_Constants'!$D$17)</x:f>
        <x:v>0.0005051671536636703</x:v>
      </x:c>
      <x:c r="O133" s="369" t="n">
        <x:f>IF(A133="","",AVERAGE(C133:N133))</x:f>
        <x:v>0.00022892756912240816</x:v>
      </x:c>
      <x:c r="P133" s="369" t="n">
        <x:f>IF(A133="","",SUMPRODUCT(C133:N133,'03_12_Errors'!$P$4:$AA$4)/SUM('03_12_Errors'!$P$4:$AA$4))</x:f>
        <x:v>0.00026322271497355765</x:v>
      </x:c>
      <x:c r="Q133" s="369" t="n">
        <x:f>IF(A133="","",SQRT(SUMSQ(C133:N133)/12))</x:f>
        <x:v>0.0002673515060732657</x:v>
      </x:c>
      <x:c r="R133" s="369" t="n">
        <x:f>IF(A133="","",MAX(C133:N133))</x:f>
        <x:v>0.0005051671536636703</x:v>
      </x:c>
      <x:c r="S133" s="390" t="n">
        <x:f>IF(A133="","",COUNTIF(C133:N133,"&lt;="&amp;'00_Start'!$B$7))</x:f>
        <x:v>12</x:v>
      </x:c>
      <x:c r="T133" s="365" t="n">
        <x:f>IF(A133="","",0.5*TAN(RADIANS(A133)))</x:f>
        <x:v>0.6363802481415921</x:v>
      </x:c>
      <x:c r="U133" s="365" t="n">
        <x:f>IF(A133="","",0.5)</x:f>
        <x:v>0.5</x:v>
      </x:c>
      <x:c r="V133" s="365" t="n">
        <x:f>IF(A133="","",SQRT(2))</x:f>
        <x:v>1.4142135623730951</x:v>
      </x:c>
      <x:c r="W133" s="365" t="n">
        <x:f>IF(A133="","",SQRT(T133^2+U133^2))</x:f>
        <x:v>0.8093082356091246</x:v>
      </x:c>
      <x:c r="X133" s="365" t="n">
        <x:f>IF(A133="","",SQRT(T133^2+2*U133^2))</x:f>
        <x:v>0.951304273208501</x:v>
      </x:c>
      <x:c r="Y133" s="127"/>
      <x:c r="Z133" s="127"/>
      <x:c r="AA133" s="127"/>
      <x:c r="AB133" s="127"/>
      <x:c r="AC133" s="127"/>
      <x:c r="AD133" s="127"/>
      <x:c r="AE133" s="127"/>
      <x:c r="AF133" s="127"/>
      <x:c r="AG133" s="127"/>
      <x:c r="AH133" s="127"/>
      <x:c r="AI133" s="127"/>
      <x:c r="AJ133" s="127"/>
      <x:c r="AK133" s="127"/>
      <x:c r="AL133" s="127"/>
    </x:row>
    <x:row r="134">
      <x:c r="A134" s="367" t="n">
        <x:f>IF(A133="","",IF(A133+'00_Start'!$B$12&lt;='00_Start'!$B$11,A133+'00_Start'!$B$12,""))</x:f>
        <x:v>51.84400000000031</x:v>
      </x:c>
      <x:c r="B134" s="367" t="n">
        <x:f>IF(A134="","",2/TAN(RADIANS(A134)))</x:f>
        <x:v>1.5713593243051085</x:v>
      </x:c>
      <x:c r="C134" s="369" t="n">
        <x:f>IF($A134="","",ABS(2/T134-'02_Constants'!$D$6)/'02_Constants'!$D$6)</x:f>
        <x:v>0.0003584153467946389</x:v>
      </x:c>
      <x:c r="D134" s="369" t="n">
        <x:f>IF($A134="","",ABS(2/(T134+2*V134)-'02_Constants'!$D$7)/'02_Constants'!$D$7)</x:f>
        <x:v>0.000026155662742570614</x:v>
      </x:c>
      <x:c r="E134" s="369" t="n">
        <x:f>IF($A134="","",ABS((T134+2*V134)/2-'02_Constants'!$D$8)/'02_Constants'!$D$8)</x:f>
        <x:v>0.00020703475563827638</x:v>
      </x:c>
      <x:c r="F134" s="369" t="n">
        <x:f>IF($A134="","",ABS((T134+2*V134)/V134-'02_Constants'!$D$9)/'02_Constants'!$D$9)</x:f>
        <x:v>0.00020703475563828554</x:v>
      </x:c>
      <x:c r="G134" s="369" t="n">
        <x:f>IF($A134="","",ABS(V134-'02_Constants'!$D$10)/'02_Constants'!$D$10)</x:f>
        <x:v>0</x:v>
      </x:c>
      <x:c r="H134" s="369" t="n">
        <x:f>IF($A134="","",ABS((W134+1)/W134-'02_Constants'!$D$11)/'02_Constants'!$D$11)</x:f>
        <x:v>0.00020506572748071476</x:v>
      </x:c>
      <x:c r="I134" s="369" t="n">
        <x:f>IF($A134="","",ABS((U134+2*V134)/(W134+1)-'02_Constants'!$D$12)/'02_Constants'!$D$12)</x:f>
        <x:v>0.00017245875754647147</x:v>
      </x:c>
      <x:c r="J134" s="369" t="n">
        <x:f>IF($A134="","",ABS(X134/U134-'02_Constants'!$D$13)/'02_Constants'!$D$13)</x:f>
        <x:v>0.00024354303511708004</x:v>
      </x:c>
      <x:c r="K134" s="369" t="n">
        <x:f>IF($A134="","",ABS(W134/(W134+U134)-'02_Constants'!$D$14)/'02_Constants'!$D$14)</x:f>
        <x:v>0.0001417170135914248</x:v>
      </x:c>
      <x:c r="L134" s="369" t="n">
        <x:f>IF($A134="","",ABS(W134/U134-'02_Constants'!$D$15)/'02_Constants'!$D$15)</x:f>
        <x:v>0.0003711050538479028</x:v>
      </x:c>
      <x:c r="M134" s="369" t="n">
        <x:f>IF($A134="","",ABS(2*A134/(90-A134)-'02_Constants'!$D$16)/'02_Constants'!$D$16)</x:f>
        <x:v>0.0002965851717935464</x:v>
      </x:c>
      <x:c r="N134" s="369" t="n">
        <x:f>IF($A134="","",ABS(2*A134/(90-A134)-1-'02_Constants'!$D$17)/'02_Constants'!$D$17)</x:f>
        <x:v>0.00046919083338022797</x:v>
      </x:c>
      <x:c r="O134" s="369" t="n">
        <x:f>IF(A134="","",AVERAGE(C134:N134))</x:f>
        <x:v>0.00022485884279759496</x:v>
      </x:c>
      <x:c r="P134" s="369" t="n">
        <x:f>IF(A134="","",SUMPRODUCT(C134:N134,'03_12_Errors'!$P$4:$AA$4)/SUM('03_12_Errors'!$P$4:$AA$4))</x:f>
        <x:v>0.000257223799726356</x:v>
      </x:c>
      <x:c r="Q134" s="369" t="n">
        <x:f>IF(A134="","",SQRT(SUMSQ(C134:N134)/12))</x:f>
        <x:v>0.00026010977175994107</x:v>
      </x:c>
      <x:c r="R134" s="369" t="n">
        <x:f>IF(A134="","",MAX(C134:N134))</x:f>
        <x:v>0.00046919083338022797</x:v>
      </x:c>
      <x:c r="S134" s="390" t="n">
        <x:f>IF(A134="","",COUNTIF(C134:N134,"&lt;="&amp;'00_Start'!$B$7))</x:f>
        <x:v>12</x:v>
      </x:c>
      <x:c r="T134" s="365" t="n">
        <x:f>IF(A134="","",0.5*TAN(RADIANS(A134)))</x:f>
        <x:v>0.6363916798229604</x:v>
      </x:c>
      <x:c r="U134" s="365" t="n">
        <x:f>IF(A134="","",0.5)</x:f>
        <x:v>0.5</x:v>
      </x:c>
      <x:c r="V134" s="365" t="n">
        <x:f>IF(A134="","",SQRT(2))</x:f>
        <x:v>1.4142135623730951</x:v>
      </x:c>
      <x:c r="W134" s="365" t="n">
        <x:f>IF(A134="","",SQRT(T134^2+U134^2))</x:f>
        <x:v>0.8093172246702088</x:v>
      </x:c>
      <x:c r="X134" s="365" t="n">
        <x:f>IF(A134="","",SQRT(T134^2+2*U134^2))</x:f>
        <x:v>0.9513119205328446</x:v>
      </x:c>
      <x:c r="Y134" s="127"/>
      <x:c r="Z134" s="127"/>
      <x:c r="AA134" s="127"/>
      <x:c r="AB134" s="127"/>
      <x:c r="AC134" s="127"/>
      <x:c r="AD134" s="127"/>
      <x:c r="AE134" s="127"/>
      <x:c r="AF134" s="127"/>
      <x:c r="AG134" s="127"/>
      <x:c r="AH134" s="127"/>
      <x:c r="AI134" s="127"/>
      <x:c r="AJ134" s="127"/>
      <x:c r="AK134" s="127"/>
      <x:c r="AL134" s="127"/>
    </x:row>
    <x:row r="135">
      <x:c r="A135" s="367" t="n">
        <x:f>IF(A134="","",IF(A134+'00_Start'!$B$12&lt;='00_Start'!$B$11,A134+'00_Start'!$B$12,""))</x:f>
        <x:v>51.84450000000031</x:v>
      </x:c>
      <x:c r="B135" s="367" t="n">
        <x:f>IF(A135="","",2/TAN(RADIANS(A135)))</x:f>
        <x:v>1.5713310974189982</x:v>
      </x:c>
      <x:c r="C135" s="369" t="n">
        <x:f>IF($A135="","",ABS(2/T135-'02_Constants'!$D$6)/'02_Constants'!$D$6)</x:f>
        <x:v>0.000340445552984479</x:v>
      </x:c>
      <x:c r="D135" s="369" t="n">
        <x:f>IF($A135="","",ABS(2/(T135+2*V135)-'02_Constants'!$D$7)/'02_Constants'!$D$7)</x:f>
        <x:v>0.000022856154961015146</x:v>
      </x:c>
      <x:c r="E135" s="369" t="n">
        <x:f>IF($A135="","",ABS((T135+2*V135)/2-'02_Constants'!$D$8)/'02_Constants'!$D$8)</x:f>
        <x:v>0.00021033487110473382</x:v>
      </x:c>
      <x:c r="F135" s="369" t="n">
        <x:f>IF($A135="","",ABS((T135+2*V135)/V135-'02_Constants'!$D$9)/'02_Constants'!$D$9)</x:f>
        <x:v>0.00021033487110464752</x:v>
      </x:c>
      <x:c r="G135" s="369" t="n">
        <x:f>IF($A135="","",ABS(V135-'02_Constants'!$D$10)/'02_Constants'!$D$10)</x:f>
        <x:v>0</x:v>
      </x:c>
      <x:c r="H135" s="369" t="n">
        <x:f>IF($A135="","",ABS((W135+1)/W135-'02_Constants'!$D$11)/'02_Constants'!$D$11)</x:f>
        <x:v>0.00021120334136690775</x:v>
      </x:c>
      <x:c r="I135" s="369" t="n">
        <x:f>IF($A135="","",ABS((U135+2*V135)/(W135+1)-'02_Constants'!$D$12)/'02_Constants'!$D$12)</x:f>
        <x:v>0.00016748957475155388</x:v>
      </x:c>
      <x:c r="J135" s="369" t="n">
        <x:f>IF($A135="","",ABS(X135/U135-'02_Constants'!$D$13)/'02_Constants'!$D$13)</x:f>
        <x:v>0.00025158396519637974</x:v>
      </x:c>
      <x:c r="K135" s="369" t="n">
        <x:f>IF($A135="","",ABS(W135/(W135+U135)-'02_Constants'!$D$14)/'02_Constants'!$D$14)</x:f>
        <x:v>0.000145959220600714</x:v>
      </x:c>
      <x:c r="L135" s="369" t="n">
        <x:f>IF($A135="","",ABS(W135/U135-'02_Constants'!$D$15)/'02_Constants'!$D$15)</x:f>
        <x:v>0.00038221646741283874</x:v>
      </x:c>
      <x:c r="M135" s="369" t="n">
        <x:f>IF($A135="","",ABS(2*A135/(90-A135)-'02_Constants'!$D$16)/'02_Constants'!$D$16)</x:f>
        <x:v>0.00027384320409321527</x:v>
      </x:c>
      <x:c r="N135" s="369" t="n">
        <x:f>IF($A135="","",ABS(2*A135/(90-A135)-1-'02_Constants'!$D$17)/'02_Constants'!$D$17)</x:f>
        <x:v>0.00043321357020992957</x:v>
      </x:c>
      <x:c r="O135" s="369" t="n">
        <x:f>IF(A135="","",AVERAGE(C135:N135))</x:f>
        <x:v>0.00022079006614886786</x:v>
      </x:c>
      <x:c r="P135" s="369" t="n">
        <x:f>IF(A135="","",SUMPRODUCT(C135:N135,'03_12_Errors'!$P$4:$AA$4)/SUM('03_12_Errors'!$P$4:$AA$4))</x:f>
        <x:v>0.0002512248537112674</x:v>
      </x:c>
      <x:c r="Q135" s="369" t="n">
        <x:f>IF(A135="","",SQRT(SUMSQ(C135:N135)/12))</x:f>
        <x:v>0.00025346249144805904</x:v>
      </x:c>
      <x:c r="R135" s="369" t="n">
        <x:f>IF(A135="","",MAX(C135:N135))</x:f>
        <x:v>0.00043321357020992957</x:v>
      </x:c>
      <x:c r="S135" s="390" t="n">
        <x:f>IF(A135="","",COUNTIF(C135:N135,"&lt;="&amp;'00_Start'!$B$7))</x:f>
        <x:v>12</x:v>
      </x:c>
      <x:c r="T135" s="365" t="n">
        <x:f>IF(A135="","",0.5*TAN(RADIANS(A135)))</x:f>
        <x:v>0.6364031117582778</x:v>
      </x:c>
      <x:c r="U135" s="365" t="n">
        <x:f>IF(A135="","",0.5)</x:f>
        <x:v>0.5</x:v>
      </x:c>
      <x:c r="V135" s="365" t="n">
        <x:f>IF(A135="","",SQRT(2))</x:f>
        <x:v>1.4142135623730951</x:v>
      </x:c>
      <x:c r="W135" s="365" t="n">
        <x:f>IF(A135="","",SQRT(T135^2+U135^2))</x:f>
        <x:v>0.8093262139926144</x:v>
      </x:c>
      <x:c r="X135" s="365" t="n">
        <x:f>IF(A135="","",SQRT(T135^2+2*U135^2))</x:f>
        <x:v>0.9513195681029688</x:v>
      </x:c>
      <x:c r="Y135" s="127"/>
      <x:c r="Z135" s="127"/>
      <x:c r="AA135" s="127"/>
      <x:c r="AB135" s="127"/>
      <x:c r="AC135" s="127"/>
      <x:c r="AD135" s="127"/>
      <x:c r="AE135" s="127"/>
      <x:c r="AF135" s="127"/>
      <x:c r="AG135" s="127"/>
      <x:c r="AH135" s="127"/>
      <x:c r="AI135" s="127"/>
      <x:c r="AJ135" s="127"/>
      <x:c r="AK135" s="127"/>
      <x:c r="AL135" s="127"/>
    </x:row>
    <x:row r="136">
      <x:c r="A136" s="367" t="n">
        <x:f>IF(A135="","",IF(A135+'00_Start'!$B$12&lt;='00_Start'!$B$11,A135+'00_Start'!$B$12,""))</x:f>
        <x:v>51.84500000000031</x:v>
      </x:c>
      <x:c r="B136" s="367" t="n">
        <x:f>IF(A136="","",2/TAN(RADIANS(A136)))</x:f>
        <x:v>1.5713028709199446</x:v>
      </x:c>
      <x:c r="C136" s="369" t="n">
        <x:f>IF($A136="","",ABS(2/T136-'02_Constants'!$D$6)/'02_Constants'!$D$6)</x:f>
        <x:v>0.0003224760055822094</x:v>
      </x:c>
      <x:c r="D136" s="369" t="n">
        <x:f>IF($A136="","",ABS(2/(T136+2*V136)-'02_Constants'!$D$7)/'02_Constants'!$D$7)</x:f>
        <x:v>0.000019556595654545755</x:v>
      </x:c>
      <x:c r="E136" s="369" t="n">
        <x:f>IF($A136="","",ABS((T136+2*V136)/2-'02_Constants'!$D$8)/'02_Constants'!$D$8)</x:f>
        <x:v>0.0002136350598829899</x:v>
      </x:c>
      <x:c r="F136" s="369" t="n">
        <x:f>IF($A136="","",ABS((T136+2*V136)/V136-'02_Constants'!$D$9)/'02_Constants'!$D$9)</x:f>
        <x:v>0.00021363505988293024</x:v>
      </x:c>
      <x:c r="G136" s="369" t="n">
        <x:f>IF($A136="","",ABS(V136-'02_Constants'!$D$10)/'02_Constants'!$D$10)</x:f>
        <x:v>0</x:v>
      </x:c>
      <x:c r="H136" s="369" t="n">
        <x:f>IF($A136="","",ABS((W136+1)/W136-'02_Constants'!$D$11)/'02_Constants'!$D$11)</x:f>
        <x:v>0.00021734099733423926</x:v>
      </x:c>
      <x:c r="I136" s="369" t="n">
        <x:f>IF($A136="","",ABS((U136+2*V136)/(W136+1)-'02_Constants'!$D$12)/'02_Constants'!$D$12)</x:f>
        <x:v>0.00016252029687503447</x:v>
      </x:c>
      <x:c r="J136" s="369" t="n">
        <x:f>IF($A136="","",ABS(X136/U136-'02_Constants'!$D$13)/'02_Constants'!$D$13)</x:f>
        <x:v>0.0002596251537086438</x:v>
      </x:c>
      <x:c r="K136" s="369" t="n">
        <x:f>IF($A136="","",ABS(W136/(W136+U136)-'02_Constants'!$D$14)/'02_Constants'!$D$14)</x:f>
        <x:v>0.00015020149268381755</x:v>
      </x:c>
      <x:c r="L136" s="369" t="n">
        <x:f>IF($A136="","",ABS(W136/U136-'02_Constants'!$D$15)/'02_Constants'!$D$15)</x:f>
        <x:v>0.0003933282040011509</x:v>
      </x:c>
      <x:c r="M136" s="369" t="n">
        <x:f>IF($A136="","",ABS(2*A136/(90-A136)-'02_Constants'!$D$16)/'02_Constants'!$D$16)</x:f>
        <x:v>0.0002511006403513557</x:v>
      </x:c>
      <x:c r="N136" s="369" t="n">
        <x:f>IF($A136="","",ABS(2*A136/(90-A136)-1-'02_Constants'!$D$17)/'02_Constants'!$D$17)</x:f>
        <x:v>0.0003972353641158168</x:v>
      </x:c>
      <x:c r="O136" s="369" t="n">
        <x:f>IF(A136="","",AVERAGE(C136:N136))</x:f>
        <x:v>0.00021672123917272778</x:v>
      </x:c>
      <x:c r="P136" s="369" t="n">
        <x:f>IF(A136="","",SUMPRODUCT(C136:N136,'03_12_Errors'!$P$4:$AA$4)/SUM('03_12_Errors'!$P$4:$AA$4))</x:f>
        <x:v>0.0002452258769243387</x:v>
      </x:c>
      <x:c r="Q136" s="369" t="n">
        <x:f>IF(A136="","",SQRT(SUMSQ(C136:N136)/12))</x:f>
        <x:v>0.00024745762587518173</x:v>
      </x:c>
      <x:c r="R136" s="369" t="n">
        <x:f>IF(A136="","",MAX(C136:N136))</x:f>
        <x:v>0.0003972353641158168</x:v>
      </x:c>
      <x:c r="S136" s="390" t="n">
        <x:f>IF(A136="","",COUNTIF(C136:N136,"&lt;="&amp;'00_Start'!$B$7))</x:f>
        <x:v>12</x:v>
      </x:c>
      <x:c r="T136" s="365" t="n">
        <x:f>IF(A136="","",0.5*TAN(RADIANS(A136)))</x:f>
        <x:v>0.6364145439475547</x:v>
      </x:c>
      <x:c r="U136" s="365" t="n">
        <x:f>IF(A136="","",0.5)</x:f>
        <x:v>0.5</x:v>
      </x:c>
      <x:c r="V136" s="365" t="n">
        <x:f>IF(A136="","",SQRT(2))</x:f>
        <x:v>1.4142135623730951</x:v>
      </x:c>
      <x:c r="W136" s="365" t="n">
        <x:f>IF(A136="","",SQRT(T136^2+U136^2))</x:f>
        <x:v>0.8093352035763514</x:v>
      </x:c>
      <x:c r="X136" s="365" t="n">
        <x:f>IF(A136="","",SQRT(T136^2+2*U136^2))</x:f>
        <x:v>0.9513272159188835</x:v>
      </x:c>
      <x:c r="Y136" s="127"/>
      <x:c r="Z136" s="127"/>
      <x:c r="AA136" s="127"/>
      <x:c r="AB136" s="127"/>
      <x:c r="AC136" s="127"/>
      <x:c r="AD136" s="127"/>
      <x:c r="AE136" s="127"/>
      <x:c r="AF136" s="127"/>
      <x:c r="AG136" s="127"/>
      <x:c r="AH136" s="127"/>
      <x:c r="AI136" s="127"/>
      <x:c r="AJ136" s="127"/>
      <x:c r="AK136" s="127"/>
      <x:c r="AL136" s="127"/>
    </x:row>
    <x:row r="137">
      <x:c r="A137" s="367" t="n">
        <x:f>IF(A136="","",IF(A136+'00_Start'!$B$12&lt;='00_Start'!$B$11,A136+'00_Start'!$B$12,""))</x:f>
        <x:v>51.845500000000314</x:v>
      </x:c>
      <x:c r="B137" s="367" t="n">
        <x:f>IF(A137="","",2/TAN(RADIANS(A137)))</x:f>
        <x:v>1.5712746448079364</x:v>
      </x:c>
      <x:c r="C137" s="369" t="n">
        <x:f>IF($A137="","",ABS(2/T137-'02_Constants'!$D$6)/'02_Constants'!$D$6)</x:f>
        <x:v>0.0003045067045807623</x:v>
      </x:c>
      <x:c r="D137" s="369" t="n">
        <x:f>IF($A137="","",ABS(2/(T137+2*V137)-'02_Constants'!$D$7)/'02_Constants'!$D$7)</x:f>
        <x:v>0.00001625698482200839</x:v>
      </x:c>
      <x:c r="E137" s="369" t="n">
        <x:f>IF($A137="","",ABS((T137+2*V137)/2-'02_Constants'!$D$8)/'02_Constants'!$D$8)</x:f>
        <x:v>0.00021693532197586496</x:v>
      </x:c>
      <x:c r="F137" s="369" t="n">
        <x:f>IF($A137="","",ABS((T137+2*V137)/V137-'02_Constants'!$D$9)/'02_Constants'!$D$9)</x:f>
        <x:v>0.00021693532197585317</x:v>
      </x:c>
      <x:c r="G137" s="369" t="n">
        <x:f>IF($A137="","",ABS(V137-'02_Constants'!$D$10)/'02_Constants'!$D$10)</x:f>
        <x:v>0</x:v>
      </x:c>
      <x:c r="H137" s="369" t="n">
        <x:f>IF($A137="","",ABS((W137+1)/W137-'02_Constants'!$D$11)/'02_Constants'!$D$11)</x:f>
        <x:v>0.00022347869538191486</x:v>
      </x:c>
      <x:c r="I137" s="369" t="n">
        <x:f>IF($A137="","",ABS((U137+2*V137)/(W137+1)-'02_Constants'!$D$12)/'02_Constants'!$D$12)</x:f>
        <x:v>0.00015755092391474027</x:v>
      </x:c>
      <x:c r="J137" s="369" t="n">
        <x:f>IF($A137="","",ABS(X137/U137-'02_Constants'!$D$13)/'02_Constants'!$D$13)</x:f>
        <x:v>0.0002676666006644949</x:v>
      </x:c>
      <x:c r="K137" s="369" t="n">
        <x:f>IF($A137="","",ABS(W137/(W137+U137)-'02_Constants'!$D$14)/'02_Constants'!$D$14)</x:f>
        <x:v>0.00015444382984127443</x:v>
      </x:c>
      <x:c r="L137" s="369" t="n">
        <x:f>IF($A137="","",ABS(W137/U137-'02_Constants'!$D$15)/'02_Constants'!$D$15)</x:f>
        <x:v>0.00040444026362505294</x:v>
      </x:c>
      <x:c r="M137" s="369" t="n">
        <x:f>IF($A137="","",ABS(2*A137/(90-A137)-'02_Constants'!$D$16)/'02_Constants'!$D$16)</x:f>
        <x:v>0.00022835748054427868</x:v>
      </x:c>
      <x:c r="N137" s="369" t="n">
        <x:f>IF($A137="","",ABS(2*A137/(90-A137)-1-'02_Constants'!$D$17)/'02_Constants'!$D$17)</x:f>
        <x:v>0.0003612562150604143</x:v>
      </x:c>
      <x:c r="O137" s="369" t="n">
        <x:f>IF(A137="","",AVERAGE(C137:N137))</x:f>
        <x:v>0.00021265236186555493</x:v>
      </x:c>
      <x:c r="P137" s="369" t="n">
        <x:f>IF(A137="","",SUMPRODUCT(C137:N137,'03_12_Errors'!$P$4:$AA$4)/SUM('03_12_Errors'!$P$4:$AA$4))</x:f>
        <x:v>0.00023922686936161117</x:v>
      </x:c>
      <x:c r="Q137" s="369" t="n">
        <x:f>IF(A137="","",SQRT(SUMSQ(C137:N137)/12))</x:f>
        <x:v>0.000242143025196612</x:v>
      </x:c>
      <x:c r="R137" s="369" t="n">
        <x:f>IF(A137="","",MAX(C137:N137))</x:f>
        <x:v>0.00040444026362505294</x:v>
      </x:c>
      <x:c r="S137" s="390" t="n">
        <x:f>IF(A137="","",COUNTIF(C137:N137,"&lt;="&amp;'00_Start'!$B$7))</x:f>
        <x:v>12</x:v>
      </x:c>
      <x:c r="T137" s="365" t="n">
        <x:f>IF(A137="","",0.5*TAN(RADIANS(A137)))</x:f>
        <x:v>0.636425976390801</x:v>
      </x:c>
      <x:c r="U137" s="365" t="n">
        <x:f>IF(A137="","",0.5)</x:f>
        <x:v>0.5</x:v>
      </x:c>
      <x:c r="V137" s="365" t="n">
        <x:f>IF(A137="","",SQRT(2))</x:f>
        <x:v>1.4142135623730951</x:v>
      </x:c>
      <x:c r="W137" s="365" t="n">
        <x:f>IF(A137="","",SQRT(T137^2+U137^2))</x:f>
        <x:v>0.8093441934214296</x:v>
      </x:c>
      <x:c r="X137" s="365" t="n">
        <x:f>IF(A137="","",SQRT(T137^2+2*U137^2))</x:f>
        <x:v>0.9513348639805987</x:v>
      </x:c>
      <x:c r="Y137" s="127"/>
      <x:c r="Z137" s="127"/>
      <x:c r="AA137" s="127"/>
      <x:c r="AB137" s="127"/>
      <x:c r="AC137" s="127"/>
      <x:c r="AD137" s="127"/>
      <x:c r="AE137" s="127"/>
      <x:c r="AF137" s="127"/>
      <x:c r="AG137" s="127"/>
      <x:c r="AH137" s="127"/>
      <x:c r="AI137" s="127"/>
      <x:c r="AJ137" s="127"/>
      <x:c r="AK137" s="127"/>
      <x:c r="AL137" s="127"/>
    </x:row>
    <x:row r="138">
      <x:c r="A138" s="367" t="n">
        <x:f>IF(A137="","",IF(A137+'00_Start'!$B$12&lt;='00_Start'!$B$11,A137+'00_Start'!$B$12,""))</x:f>
        <x:v>51.846000000000316</x:v>
      </x:c>
      <x:c r="B138" s="367" t="n">
        <x:f>IF(A138="","",2/TAN(RADIANS(A138)))</x:f>
        <x:v>1.5712464190829607</x:v>
      </x:c>
      <x:c r="C138" s="369" t="n">
        <x:f>IF($A138="","",ABS(2/T138-'02_Constants'!$D$6)/'02_Constants'!$D$6)</x:f>
        <x:v>0.00028653764997179737</x:v>
      </x:c>
      <x:c r="D138" s="369" t="n">
        <x:f>IF($A138="","",ABS(2/(T138+2*V138)-'02_Constants'!$D$7)/'02_Constants'!$D$7)</x:f>
        <x:v>0.000012957322461287298</x:v>
      </x:c>
      <x:c r="E138" s="369" t="n">
        <x:f>IF($A138="","",ABS((T138+2*V138)/2-'02_Constants'!$D$8)/'02_Constants'!$D$8)</x:f>
        <x:v>0.00022023565738630758</x:v>
      </x:c>
      <x:c r="F138" s="369" t="n">
        <x:f>IF($A138="","",ABS((T138+2*V138)/V138-'02_Constants'!$D$9)/'02_Constants'!$D$9)</x:f>
        <x:v>0.00022023565738631712</x:v>
      </x:c>
      <x:c r="G138" s="369" t="n">
        <x:f>IF($A138="","",ABS(V138-'02_Constants'!$D$10)/'02_Constants'!$D$10)</x:f>
        <x:v>0</x:v>
      </x:c>
      <x:c r="H138" s="369" t="n">
        <x:f>IF($A138="","",ABS((W138+1)/W138-'02_Constants'!$D$11)/'02_Constants'!$D$11)</x:f>
        <x:v>0.000229616435509736</x:v>
      </x:c>
      <x:c r="I138" s="369" t="n">
        <x:f>IF($A138="","",ABS((U138+2*V138)/(W138+1)-'02_Constants'!$D$12)/'02_Constants'!$D$12)</x:f>
        <x:v>0.0001525814558687397</x:v>
      </x:c>
      <x:c r="J138" s="369" t="n">
        <x:f>IF($A138="","",ABS(X138/U138-'02_Constants'!$D$13)/'02_Constants'!$D$13)</x:f>
        <x:v>0.0002757083060746724</x:v>
      </x:c>
      <x:c r="K138" s="369" t="n">
        <x:f>IF($A138="","",ABS(W138/(W138+U138)-'02_Constants'!$D$14)/'02_Constants'!$D$14)</x:f>
        <x:v>0.00015868623207434206</x:v>
      </x:c>
      <x:c r="L138" s="369" t="n">
        <x:f>IF($A138="","",ABS(W138/U138-'02_Constants'!$D$15)/'02_Constants'!$D$15)</x:f>
        <x:v>0.00041555264629717</x:v>
      </x:c>
      <x:c r="M138" s="369" t="n">
        <x:f>IF($A138="","",ABS(2*A138/(90-A138)-'02_Constants'!$D$16)/'02_Constants'!$D$16)</x:f>
        <x:v>0.00020561372464878564</x:v>
      </x:c>
      <x:c r="N138" s="369" t="n">
        <x:f>IF($A138="","",ABS(2*A138/(90-A138)-1-'02_Constants'!$D$17)/'02_Constants'!$D$17)</x:f>
        <x:v>0.00032527612300702237</x:v>
      </x:c>
      <x:c r="O138" s="369" t="n">
        <x:f>IF(A138="","",AVERAGE(C138:N138))</x:f>
        <x:v>0.00020858343422384813</x:v>
      </x:c>
      <x:c r="P138" s="369" t="n">
        <x:f>IF(A138="","",SUMPRODUCT(C138:N138,'03_12_Errors'!$P$4:$AA$4)/SUM('03_12_Errors'!$P$4:$AA$4))</x:f>
        <x:v>0.00023322783101913894</x:v>
      </x:c>
      <x:c r="Q138" s="369" t="n">
        <x:f>IF(A138="","",SQRT(SUMSQ(C138:N138)/12))</x:f>
        <x:v>0.00023756507298917654</x:v>
      </x:c>
      <x:c r="R138" s="369" t="n">
        <x:f>IF(A138="","",MAX(C138:N138))</x:f>
        <x:v>0.00041555264629717</x:v>
      </x:c>
      <x:c r="S138" s="390" t="n">
        <x:f>IF(A138="","",COUNTIF(C138:N138,"&lt;="&amp;'00_Start'!$B$7))</x:f>
        <x:v>12</x:v>
      </x:c>
      <x:c r="T138" s="365" t="n">
        <x:f>IF(A138="","",0.5*TAN(RADIANS(A138)))</x:f>
        <x:v>0.6364374090880272</x:v>
      </x:c>
      <x:c r="U138" s="365" t="n">
        <x:f>IF(A138="","",0.5)</x:f>
        <x:v>0.5</x:v>
      </x:c>
      <x:c r="V138" s="365" t="n">
        <x:f>IF(A138="","",SQRT(2))</x:f>
        <x:v>1.4142135623730951</x:v>
      </x:c>
      <x:c r="W138" s="365" t="n">
        <x:f>IF(A138="","",SQRT(T138^2+U138^2))</x:f>
        <x:v>0.8093531835278593</x:v>
      </x:c>
      <x:c r="X138" s="365" t="n">
        <x:f>IF(A138="","",SQRT(T138^2+2*U138^2))</x:f>
        <x:v>0.9513425122881248</x:v>
      </x:c>
      <x:c r="Y138" s="127"/>
      <x:c r="Z138" s="127"/>
      <x:c r="AA138" s="127"/>
      <x:c r="AB138" s="127"/>
      <x:c r="AC138" s="127"/>
      <x:c r="AD138" s="127"/>
      <x:c r="AE138" s="127"/>
      <x:c r="AF138" s="127"/>
      <x:c r="AG138" s="127"/>
      <x:c r="AH138" s="127"/>
      <x:c r="AI138" s="127"/>
      <x:c r="AJ138" s="127"/>
      <x:c r="AK138" s="127"/>
      <x:c r="AL138" s="127"/>
    </x:row>
    <x:row r="139">
      <x:c r="A139" s="367" t="n">
        <x:f>IF(A138="","",IF(A138+'00_Start'!$B$12&lt;='00_Start'!$B$11,A138+'00_Start'!$B$12,""))</x:f>
        <x:v>51.84650000000032</x:v>
      </x:c>
      <x:c r="B139" s="367" t="n">
        <x:f>IF(A139="","",2/TAN(RADIANS(A139)))</x:f>
        <x:v>1.571218193745005</x:v>
      </x:c>
      <x:c r="C139" s="369" t="n">
        <x:f>IF($A139="","",ABS(2/T139-'02_Constants'!$D$6)/'02_Constants'!$D$6)</x:f>
        <x:v>0.00026856884174739873</x:v>
      </x:c>
      <x:c r="D139" s="369" t="n">
        <x:f>IF($A139="","",ABS(2/(T139+2*V139)-'02_Constants'!$D$7)/'02_Constants'!$D$7)</x:f>
        <x:v>0.000009657608570651413</x:v>
      </x:c>
      <x:c r="E139" s="369" t="n">
        <x:f>IF($A139="","",ABS((T139+2*V139)/2-'02_Constants'!$D$8)/'02_Constants'!$D$8)</x:f>
        <x:v>0.00022353606611752263</x:v>
      </x:c>
      <x:c r="F139" s="369" t="n">
        <x:f>IF($A139="","",ABS((T139+2*V139)/V139-'02_Constants'!$D$9)/'02_Constants'!$D$9)</x:f>
        <x:v>0.00022353606611740412</x:v>
      </x:c>
      <x:c r="G139" s="369" t="n">
        <x:f>IF($A139="","",ABS(V139-'02_Constants'!$D$10)/'02_Constants'!$D$10)</x:f>
        <x:v>0</x:v>
      </x:c>
      <x:c r="H139" s="369" t="n">
        <x:f>IF($A139="","",ABS((W139+1)/W139-'02_Constants'!$D$11)/'02_Constants'!$D$11)</x:f>
        <x:v>0.00023575421771730544</x:v>
      </x:c>
      <x:c r="I139" s="369" t="n">
        <x:f>IF($A139="","",ABS((U139+2*V139)/(W139+1)-'02_Constants'!$D$12)/'02_Constants'!$D$12)</x:f>
        <x:v>0.00014761189273510117</x:v>
      </x:c>
      <x:c r="J139" s="369" t="n">
        <x:f>IF($A139="","",ABS(X139/U139-'02_Constants'!$D$13)/'02_Constants'!$D$13)</x:f>
        <x:v>0.0002837502699494488</x:v>
      </x:c>
      <x:c r="K139" s="369" t="n">
        <x:f>IF($A139="","",ABS(W139/(W139+U139)-'02_Constants'!$D$14)/'02_Constants'!$D$14)</x:f>
        <x:v>0.000162928699383739</x:v>
      </x:c>
      <x:c r="L139" s="369" t="n">
        <x:f>IF($A139="","",ABS(W139/U139-'02_Constants'!$D$15)/'02_Constants'!$D$15)</x:f>
        <x:v>0.00042666535203026465</x:v>
      </x:c>
      <x:c r="M139" s="369" t="n">
        <x:f>IF($A139="","",ABS(2*A139/(90-A139)-'02_Constants'!$D$16)/'02_Constants'!$D$16)</x:f>
        <x:v>0.00018286937264151443</x:v>
      </x:c>
      <x:c r="N139" s="369" t="n">
        <x:f>IF($A139="","",ABS(2*A139/(90-A139)-1-'02_Constants'!$D$17)/'02_Constants'!$D$17)</x:f>
        <x:v>0.0002892950879186827</x:v>
      </x:c>
      <x:c r="O139" s="369" t="n">
        <x:f>IF(A139="","",AVERAGE(C139:N139))</x:f>
        <x:v>0.0002045144562440861</x:v>
      </x:c>
      <x:c r="P139" s="369" t="n">
        <x:f>IF(A139="","",SUMPRODUCT(C139:N139,'03_12_Errors'!$P$4:$AA$4)/SUM('03_12_Errors'!$P$4:$AA$4))</x:f>
        <x:v>0.00022722876189294609</x:v>
      </x:c>
      <x:c r="Q139" s="369" t="n">
        <x:f>IF(A139="","",SQRT(SUMSQ(C139:N139)/12))</x:f>
        <x:v>0.0002337671053752491</x:v>
      </x:c>
      <x:c r="R139" s="369" t="n">
        <x:f>IF(A139="","",MAX(C139:N139))</x:f>
        <x:v>0.00042666535203026465</x:v>
      </x:c>
      <x:c r="S139" s="390" t="n">
        <x:f>IF(A139="","",COUNTIF(C139:N139,"&lt;="&amp;'00_Start'!$B$7))</x:f>
        <x:v>12</x:v>
      </x:c>
      <x:c r="T139" s="365" t="n">
        <x:f>IF(A139="","",0.5*TAN(RADIANS(A139)))</x:f>
        <x:v>0.6364488420392435</x:v>
      </x:c>
      <x:c r="U139" s="365" t="n">
        <x:f>IF(A139="","",0.5)</x:f>
        <x:v>0.5</x:v>
      </x:c>
      <x:c r="V139" s="365" t="n">
        <x:f>IF(A139="","",SQRT(2))</x:f>
        <x:v>1.4142135623730951</x:v>
      </x:c>
      <x:c r="W139" s="365" t="n">
        <x:f>IF(A139="","",SQRT(T139^2+U139^2))</x:f>
        <x:v>0.8093621738956509</x:v>
      </x:c>
      <x:c r="X139" s="365" t="n">
        <x:f>IF(A139="","",SQRT(T139^2+2*U139^2))</x:f>
        <x:v>0.9513501608414715</x:v>
      </x:c>
      <x:c r="Y139" s="127"/>
      <x:c r="Z139" s="127"/>
      <x:c r="AA139" s="127"/>
      <x:c r="AB139" s="127"/>
      <x:c r="AC139" s="127"/>
      <x:c r="AD139" s="127"/>
      <x:c r="AE139" s="127"/>
      <x:c r="AF139" s="127"/>
      <x:c r="AG139" s="127"/>
      <x:c r="AH139" s="127"/>
      <x:c r="AI139" s="127"/>
      <x:c r="AJ139" s="127"/>
      <x:c r="AK139" s="127"/>
      <x:c r="AL139" s="127"/>
    </x:row>
    <x:row r="140">
      <x:c r="A140" s="367" t="n">
        <x:f>IF(A139="","",IF(A139+'00_Start'!$B$12&lt;='00_Start'!$B$11,A139+'00_Start'!$B$12,""))</x:f>
        <x:v>51.84700000000032</x:v>
      </x:c>
      <x:c r="B140" s="367" t="n">
        <x:f>IF(A140="","",2/TAN(RADIANS(A140)))</x:f>
        <x:v>1.5711899687940576</x:v>
      </x:c>
      <x:c r="C140" s="369" t="n">
        <x:f>IF($A140="","",ABS(2/T140-'02_Constants'!$D$6)/'02_Constants'!$D$6)</x:f>
        <x:v>0.0002506002799002157</x:v>
      </x:c>
      <x:c r="D140" s="369" t="n">
        <x:f>IF($A140="","",ABS(2/(T140+2*V140)-'02_Constants'!$D$7)/'02_Constants'!$D$7)</x:f>
        <x:v>0.000006357843148754346</x:v>
      </x:c>
      <x:c r="E140" s="369" t="n">
        <x:f>IF($A140="","",ABS((T140+2*V140)/2-'02_Constants'!$D$8)/'02_Constants'!$D$8)</x:f>
        <x:v>0.00022683654817220233</x:v>
      </x:c>
      <x:c r="F140" s="369" t="n">
        <x:f>IF($A140="","",ABS((T140+2*V140)/V140-'02_Constants'!$D$9)/'02_Constants'!$D$9)</x:f>
        <x:v>0.00022683654817219628</x:v>
      </x:c>
      <x:c r="G140" s="369" t="n">
        <x:f>IF($A140="","",ABS(V140-'02_Constants'!$D$10)/'02_Constants'!$D$10)</x:f>
        <x:v>0</x:v>
      </x:c>
      <x:c r="H140" s="369" t="n">
        <x:f>IF($A140="","",ABS((W140+1)/W140-'02_Constants'!$D$11)/'02_Constants'!$D$11)</x:f>
        <x:v>0.00024189204200382878</x:v>
      </x:c>
      <x:c r="I140" s="369" t="n">
        <x:f>IF($A140="","",ABS((U140+2*V140)/(W140+1)-'02_Constants'!$D$12)/'02_Constants'!$D$12)</x:f>
        <x:v>0.00014264223451177237</x:v>
      </x:c>
      <x:c r="J140" s="369" t="n">
        <x:f>IF($A140="","",ABS(X140/U140-'02_Constants'!$D$13)/'02_Constants'!$D$13)</x:f>
        <x:v>0.0002917924922995636</x:v>
      </x:c>
      <x:c r="K140" s="369" t="n">
        <x:f>IF($A140="","",ABS(W140/(W140+U140)-'02_Constants'!$D$14)/'02_Constants'!$D$14)</x:f>
        <x:v>0.00016717123177018383</x:v>
      </x:c>
      <x:c r="L140" s="369" t="n">
        <x:f>IF($A140="","",ABS(W140/U140-'02_Constants'!$D$15)/'02_Constants'!$D$15)</x:f>
        <x:v>0.00043777838083613877</x:v>
      </x:c>
      <x:c r="M140" s="369" t="n">
        <x:f>IF($A140="","",ABS(2*A140/(90-A140)-'02_Constants'!$D$16)/'02_Constants'!$D$16)</x:f>
        <x:v>0.0001601244244987762</x:v>
      </x:c>
      <x:c r="N140" s="369" t="n">
        <x:f>IF($A140="","",ABS(2*A140/(90-A140)-1-'02_Constants'!$D$17)/'02_Constants'!$D$17)</x:f>
        <x:v>0.00025331310975792006</x:v>
      </x:c>
      <x:c r="O140" s="369" t="n">
        <x:f>IF(A140="","",AVERAGE(C140:N140))</x:f>
        <x:v>0.00020044542792262935</x:v>
      </x:c>
      <x:c r="P140" s="369" t="n">
        <x:f>IF(A140="","",SUMPRODUCT(C140:N140,'03_12_Errors'!$P$4:$AA$4)/SUM('03_12_Errors'!$P$4:$AA$4))</x:f>
        <x:v>0.00022122966197905578</x:v>
      </x:c>
      <x:c r="Q140" s="369" t="n">
        <x:f>IF(A140="","",SQRT(SUMSQ(C140:N140)/12))</x:f>
        <x:v>0.00023078768771282263</x:v>
      </x:c>
      <x:c r="R140" s="369" t="n">
        <x:f>IF(A140="","",MAX(C140:N140))</x:f>
        <x:v>0.00043777838083613877</x:v>
      </x:c>
      <x:c r="S140" s="390" t="n">
        <x:f>IF(A140="","",COUNTIF(C140:N140,"&lt;="&amp;'00_Start'!$B$7))</x:f>
        <x:v>12</x:v>
      </x:c>
      <x:c r="T140" s="365" t="n">
        <x:f>IF(A140="","",0.5*TAN(RADIANS(A140)))</x:f>
        <x:v>0.6364602752444597</x:v>
      </x:c>
      <x:c r="U140" s="365" t="n">
        <x:f>IF(A140="","",0.5)</x:f>
        <x:v>0.5</x:v>
      </x:c>
      <x:c r="V140" s="365" t="n">
        <x:f>IF(A140="","",SQRT(2))</x:f>
        <x:v>1.4142135623730951</x:v>
      </x:c>
      <x:c r="W140" s="365" t="n">
        <x:f>IF(A140="","",SQRT(T140^2+U140^2))</x:f>
        <x:v>0.8093711645248138</x:v>
      </x:c>
      <x:c r="X140" s="365" t="n">
        <x:f>IF(A140="","",SQRT(T140^2+2*U140^2))</x:f>
        <x:v>0.951357809640649</x:v>
      </x:c>
      <x:c r="Y140" s="127"/>
      <x:c r="Z140" s="127"/>
      <x:c r="AA140" s="127"/>
      <x:c r="AB140" s="127"/>
      <x:c r="AC140" s="127"/>
      <x:c r="AD140" s="127"/>
      <x:c r="AE140" s="127"/>
      <x:c r="AF140" s="127"/>
      <x:c r="AG140" s="127"/>
      <x:c r="AH140" s="127"/>
      <x:c r="AI140" s="127"/>
      <x:c r="AJ140" s="127"/>
      <x:c r="AK140" s="127"/>
      <x:c r="AL140" s="127"/>
    </x:row>
    <x:row r="141">
      <x:c r="A141" s="367" t="n">
        <x:f>IF(A140="","",IF(A140+'00_Start'!$B$12&lt;='00_Start'!$B$11,A140+'00_Start'!$B$12,""))</x:f>
        <x:v>51.84750000000032</x:v>
      </x:c>
      <x:c r="B141" s="367" t="n">
        <x:f>IF(A141="","",2/TAN(RADIANS(A141)))</x:f>
        <x:v>1.5711617442301062</x:v>
      </x:c>
      <x:c r="C141" s="369" t="n">
        <x:f>IF($A141="","",ABS(2/T141-'02_Constants'!$D$6)/'02_Constants'!$D$6)</x:f>
        <x:v>0.0002326319644223323</x:v>
      </x:c>
      <x:c r="D141" s="369" t="n">
        <x:f>IF($A141="","",ABS(2/(T141+2*V141)-'02_Constants'!$D$7)/'02_Constants'!$D$7)</x:f>
        <x:v>0.0000030580261932880033</x:v>
      </x:c>
      <x:c r="E141" s="369" t="n">
        <x:f>IF($A141="","",ABS((T141+2*V141)/2-'02_Constants'!$D$8)/'02_Constants'!$D$8)</x:f>
        <x:v>0.00023013710355342335</x:v>
      </x:c>
      <x:c r="F141" s="369" t="n">
        <x:f>IF($A141="","",ABS((T141+2*V141)/V141-'02_Constants'!$D$9)/'02_Constants'!$D$9)</x:f>
        <x:v>0.00023013710355341307</x:v>
      </x:c>
      <x:c r="G141" s="369" t="n">
        <x:f>IF($A141="","",ABS(V141-'02_Constants'!$D$10)/'02_Constants'!$D$10)</x:f>
        <x:v>0</x:v>
      </x:c>
      <x:c r="H141" s="369" t="n">
        <x:f>IF($A141="","",ABS((W141+1)/W141-'02_Constants'!$D$11)/'02_Constants'!$D$11)</x:f>
        <x:v>0.0002480299083691074</x:v>
      </x:c>
      <x:c r="I141" s="369" t="n">
        <x:f>IF($A141="","",ABS((U141+2*V141)/(W141+1)-'02_Constants'!$D$12)/'02_Constants'!$D$12)</x:f>
        <x:v>0.00013767248119670106</x:v>
      </x:c>
      <x:c r="J141" s="369" t="n">
        <x:f>IF($A141="","",ABS(X141/U141-'02_Constants'!$D$13)/'02_Constants'!$D$13)</x:f>
        <x:v>0.0002998349731356394</x:v>
      </x:c>
      <x:c r="K141" s="369" t="n">
        <x:f>IF($A141="","",ABS(W141/(W141+U141)-'02_Constants'!$D$14)/'02_Constants'!$D$14)</x:f>
        <x:v>0.00017141382923475433</x:v>
      </x:c>
      <x:c r="L141" s="369" t="n">
        <x:f>IF($A141="","",ABS(W141/U141-'02_Constants'!$D$15)/'02_Constants'!$D$15)</x:f>
        <x:v>0.00044889173272782924</x:v>
      </x:c>
      <x:c r="M141" s="369" t="n">
        <x:f>IF($A141="","",ABS(2*A141/(90-A141)-'02_Constants'!$D$16)/'02_Constants'!$D$16)</x:f>
        <x:v>0.00013737888019720889</x:v>
      </x:c>
      <x:c r="N141" s="369" t="n">
        <x:f>IF($A141="","",ABS(2*A141/(90-A141)-1-'02_Constants'!$D$17)/'02_Constants'!$D$17)</x:f>
        <x:v>0.00021733018848777623</x:v>
      </x:c>
      <x:c r="O141" s="369" t="n">
        <x:f>IF(A141="","",AVERAGE(C141:N141))</x:f>
        <x:v>0.00019637634925595614</x:v>
      </x:c>
      <x:c r="P141" s="369" t="n">
        <x:f>IF(A141="","",SUMPRODUCT(C141:N141,'03_12_Errors'!$P$4:$AA$4)/SUM('03_12_Errors'!$P$4:$AA$4))</x:f>
        <x:v>0.00021523053127351732</x:v>
      </x:c>
      <x:c r="Q141" s="369" t="n">
        <x:f>IF(A141="","",SQRT(SUMSQ(C141:N141)/12))</x:f>
        <x:v>0.000228658874384144</x:v>
      </x:c>
      <x:c r="R141" s="369" t="n">
        <x:f>IF(A141="","",MAX(C141:N141))</x:f>
        <x:v>0.00044889173272782924</x:v>
      </x:c>
      <x:c r="S141" s="390" t="n">
        <x:f>IF(A141="","",COUNTIF(C141:N141,"&lt;="&amp;'00_Start'!$B$7))</x:f>
        <x:v>12</x:v>
      </x:c>
      <x:c r="T141" s="365" t="n">
        <x:f>IF(A141="","",0.5*TAN(RADIANS(A141)))</x:f>
        <x:v>0.6364717087036864</x:v>
      </x:c>
      <x:c r="U141" s="365" t="n">
        <x:f>IF(A141="","",0.5)</x:f>
        <x:v>0.5</x:v>
      </x:c>
      <x:c r="V141" s="365" t="n">
        <x:f>IF(A141="","",SQRT(2))</x:f>
        <x:v>1.4142135623730951</x:v>
      </x:c>
      <x:c r="W141" s="365" t="n">
        <x:f>IF(A141="","",SQRT(T141^2+U141^2))</x:f>
        <x:v>0.8093801554153587</x:v>
      </x:c>
      <x:c r="X141" s="365" t="n">
        <x:f>IF(A141="","",SQRT(T141^2+2*U141^2))</x:f>
        <x:v>0.9513654586856674</x:v>
      </x:c>
      <x:c r="Y141" s="127"/>
      <x:c r="Z141" s="127"/>
      <x:c r="AA141" s="127"/>
      <x:c r="AB141" s="127"/>
      <x:c r="AC141" s="127"/>
      <x:c r="AD141" s="127"/>
      <x:c r="AE141" s="127"/>
      <x:c r="AF141" s="127"/>
      <x:c r="AG141" s="127"/>
      <x:c r="AH141" s="127"/>
      <x:c r="AI141" s="127"/>
      <x:c r="AJ141" s="127"/>
      <x:c r="AK141" s="127"/>
      <x:c r="AL141" s="127"/>
    </x:row>
    <x:row r="142">
      <x:c r="A142" s="367" t="n">
        <x:f>IF(A141="","",IF(A141+'00_Start'!$B$12&lt;='00_Start'!$B$11,A141+'00_Start'!$B$12,""))</x:f>
        <x:v>51.848000000000326</x:v>
      </x:c>
      <x:c r="B142" s="367" t="n">
        <x:f>IF(A142="","",2/TAN(RADIANS(A142)))</x:f>
        <x:v>1.5711335200531382</x:v>
      </x:c>
      <x:c r="C142" s="369" t="n">
        <x:f>IF($A142="","",ABS(2/T142-'02_Constants'!$D$6)/'02_Constants'!$D$6)</x:f>
        <x:v>0.00021466389530569102</x:v>
      </x:c>
      <x:c r="D142" s="369" t="n">
        <x:f>IF($A142="","",ABS(2/(T142+2*V142)-'02_Constants'!$D$7)/'02_Constants'!$D$7)</x:f>
        <x:v>2.418422969016616e-7</x:v>
      </x:c>
      <x:c r="E142" s="369" t="n">
        <x:f>IF($A142="","",ABS((T142+2*V142)/2-'02_Constants'!$D$8)/'02_Constants'!$D$8)</x:f>
        <x:v>0.00023343773226400607</x:v>
      </x:c>
      <x:c r="F142" s="369" t="n">
        <x:f>IF($A142="","",ABS((T142+2*V142)/V142-'02_Constants'!$D$9)/'02_Constants'!$D$9)</x:f>
        <x:v>0.00023343773226395528</x:v>
      </x:c>
      <x:c r="G142" s="369" t="n">
        <x:f>IF($A142="","",ABS(V142-'02_Constants'!$D$10)/'02_Constants'!$D$10)</x:f>
        <x:v>0</x:v>
      </x:c>
      <x:c r="H142" s="369" t="n">
        <x:f>IF($A142="","",ABS((W142+1)/W142-'02_Constants'!$D$11)/'02_Constants'!$D$11)</x:f>
        <x:v>0.0002541678168125455</x:v>
      </x:c>
      <x:c r="I142" s="369" t="n">
        <x:f>IF($A142="","",ABS((U142+2*V142)/(W142+1)-'02_Constants'!$D$12)/'02_Constants'!$D$12)</x:f>
        <x:v>0.0001327026327878349</x:v>
      </x:c>
      <x:c r="J142" s="369" t="n">
        <x:f>IF($A142="","",ABS(X142/U142-'02_Constants'!$D$13)/'02_Constants'!$D$13)</x:f>
        <x:v>0.00030787771246818224</x:v>
      </x:c>
      <x:c r="K142" s="369" t="n">
        <x:f>IF($A142="","",ABS(W142/(W142+U142)-'02_Constants'!$D$14)/'02_Constants'!$D$14)</x:f>
        <x:v>0.00017565649177834873</x:v>
      </x:c>
      <x:c r="L142" s="369" t="n">
        <x:f>IF($A142="","",ABS(W142/U142-'02_Constants'!$D$15)/'02_Constants'!$D$15)</x:f>
        <x:v>0.00046000540771768696</x:v>
      </x:c>
      <x:c r="M142" s="369" t="n">
        <x:f>IF($A142="","",ABS(2*A142/(90-A142)-'02_Constants'!$D$16)/'02_Constants'!$D$16)</x:f>
        <x:v>0.00011463273971345036</x:v>
      </x:c>
      <x:c r="N142" s="369" t="n">
        <x:f>IF($A142="","",ABS(2*A142/(90-A142)-1-'02_Constants'!$D$17)/'02_Constants'!$D$17)</x:f>
        <x:v>0.00018134632407129287</x:v>
      </x:c>
      <x:c r="O142" s="369" t="n">
        <x:f>IF(A142="","",AVERAGE(C142:N142))</x:f>
        <x:v>0.0001923475272899913</x:v>
      </x:c>
      <x:c r="P142" s="369" t="n">
        <x:f>IF(A142="","",SUMPRODUCT(C142:N142,'03_12_Errors'!$P$4:$AA$4)/SUM('03_12_Errors'!$P$4:$AA$4))</x:f>
        <x:v>0.00020925824113864907</x:v>
      </x:c>
      <x:c r="Q142" s="369" t="n">
        <x:f>IF(A142="","",SQRT(SUMSQ(C142:N142)/12))</x:f>
        <x:v>0.00022740461046211275</x:v>
      </x:c>
      <x:c r="R142" s="369" t="n">
        <x:f>IF(A142="","",MAX(C142:N142))</x:f>
        <x:v>0.00046000540771768696</x:v>
      </x:c>
      <x:c r="S142" s="390" t="n">
        <x:f>IF(A142="","",COUNTIF(C142:N142,"&lt;="&amp;'00_Start'!$B$7))</x:f>
        <x:v>12</x:v>
      </x:c>
      <x:c r="T142" s="365" t="n">
        <x:f>IF(A142="","",0.5*TAN(RADIANS(A142)))</x:f>
        <x:v>0.6364831424169337</x:v>
      </x:c>
      <x:c r="U142" s="365" t="n">
        <x:f>IF(A142="","",0.5)</x:f>
        <x:v>0.5</x:v>
      </x:c>
      <x:c r="V142" s="365" t="n">
        <x:f>IF(A142="","",SQRT(2))</x:f>
        <x:v>1.4142135623730951</x:v>
      </x:c>
      <x:c r="W142" s="365" t="n">
        <x:f>IF(A142="","",SQRT(T142^2+U142^2))</x:f>
        <x:v>0.8093891465672954</x:v>
      </x:c>
      <x:c r="X142" s="365" t="n">
        <x:f>IF(A142="","",SQRT(T142^2+2*U142^2))</x:f>
        <x:v>0.9513731079765366</x:v>
      </x:c>
      <x:c r="Y142" s="127"/>
      <x:c r="Z142" s="127"/>
      <x:c r="AA142" s="127"/>
      <x:c r="AB142" s="127"/>
      <x:c r="AC142" s="127"/>
      <x:c r="AD142" s="127"/>
      <x:c r="AE142" s="127"/>
      <x:c r="AF142" s="127"/>
      <x:c r="AG142" s="127"/>
      <x:c r="AH142" s="127"/>
      <x:c r="AI142" s="127"/>
      <x:c r="AJ142" s="127"/>
      <x:c r="AK142" s="127"/>
      <x:c r="AL142" s="127"/>
    </x:row>
    <x:row r="143">
      <x:c r="A143" s="367" t="n">
        <x:f>IF(A142="","",IF(A142+'00_Start'!$B$12&lt;='00_Start'!$B$11,A142+'00_Start'!$B$12,""))</x:f>
        <x:v>51.84850000000033</x:v>
      </x:c>
      <x:c r="B143" s="367" t="n">
        <x:f>IF(A143="","",2/TAN(RADIANS(A143)))</x:f>
        <x:v>1.5711052962631415</x:v>
      </x:c>
      <x:c r="C143" s="369" t="n">
        <x:f>IF($A143="","",ABS(2/T143-'02_Constants'!$D$6)/'02_Constants'!$D$6)</x:f>
        <x:v>0.00019669607254265857</x:v>
      </x:c>
      <x:c r="D143" s="369" t="n">
        <x:f>IF($A143="","",ABS(2/(T143+2*V143)-'02_Constants'!$D$7)/'02_Constants'!$D$7)</x:f>
        <x:v>0.000003541762323545719</x:v>
      </x:c>
      <x:c r="E143" s="369" t="n">
        <x:f>IF($A143="","",ABS((T143+2*V143)/2-'02_Constants'!$D$8)/'02_Constants'!$D$8)</x:f>
        <x:v>0.00023673843430689907</x:v>
      </x:c>
      <x:c r="F143" s="369" t="n">
        <x:f>IF($A143="","",ABS((T143+2*V143)/V143-'02_Constants'!$D$9)/'02_Constants'!$D$9)</x:f>
        <x:v>0.00023673843430690496</x:v>
      </x:c>
      <x:c r="G143" s="369" t="n">
        <x:f>IF($A143="","",ABS(V143-'02_Constants'!$D$10)/'02_Constants'!$D$10)</x:f>
        <x:v>0</x:v>
      </x:c>
      <x:c r="H143" s="369" t="n">
        <x:f>IF($A143="","",ABS((W143+1)/W143-'02_Constants'!$D$11)/'02_Constants'!$D$11)</x:f>
        <x:v>0.00026030576733394455</x:v>
      </x:c>
      <x:c r="I143" s="369" t="n">
        <x:f>IF($A143="","",ABS((U143+2*V143)/(W143+1)-'02_Constants'!$D$12)/'02_Constants'!$D$12)</x:f>
        <x:v>0.0001277326892836045</x:v>
      </x:c>
      <x:c r="J143" s="369" t="n">
        <x:f>IF($A143="","",ABS(X143/U143-'02_Constants'!$D$13)/'02_Constants'!$D$13)</x:f>
        <x:v>0.00031592071030769805</x:v>
      </x:c>
      <x:c r="K143" s="369" t="n">
        <x:f>IF($A143="","",ABS(W143/(W143+U143)-'02_Constants'!$D$14)/'02_Constants'!$D$14)</x:f>
        <x:v>0.00017989921940186519</x:v>
      </x:c>
      <x:c r="L143" s="369" t="n">
        <x:f>IF($A143="","",ABS(W143/U143-'02_Constants'!$D$15)/'02_Constants'!$D$15)</x:f>
        <x:v>0.0004711194058179254</x:v>
      </x:c>
      <x:c r="M143" s="369" t="n">
        <x:f>IF($A143="","",ABS(2*A143/(90-A143)-'02_Constants'!$D$16)/'02_Constants'!$D$16)</x:f>
        <x:v>0.00009188600302413855</x:v>
      </x:c>
      <x:c r="N143" s="369" t="n">
        <x:f>IF($A143="","",ABS(2*A143/(90-A143)-1-'02_Constants'!$D$17)/'02_Constants'!$D$17)</x:f>
        <x:v>0.00014536151647151168</x:v>
      </x:c>
      <x:c r="O143" s="369" t="n">
        <x:f>IF(A143="","",AVERAGE(C143:N143))</x:f>
        <x:v>0.00018882833459339134</x:v>
      </x:c>
      <x:c r="P143" s="369" t="n">
        <x:f>IF(A143="","",SUMPRODUCT(C143:N143,'03_12_Errors'!$P$4:$AA$4)/SUM('03_12_Errors'!$P$4:$AA$4))</x:f>
        <x:v>0.00020362570661869127</x:v>
      </x:c>
      <x:c r="Q143" s="369" t="n">
        <x:f>IF(A143="","",SQRT(SUMSQ(C143:N143)/12))</x:f>
        <x:v>0.0002270394460794517</x:v>
      </x:c>
      <x:c r="R143" s="369" t="n">
        <x:f>IF(A143="","",MAX(C143:N143))</x:f>
        <x:v>0.0004711194058179254</x:v>
      </x:c>
      <x:c r="S143" s="390" t="n">
        <x:f>IF(A143="","",COUNTIF(C143:N143,"&lt;="&amp;'00_Start'!$B$7))</x:f>
        <x:v>12</x:v>
      </x:c>
      <x:c r="T143" s="365" t="n">
        <x:f>IF(A143="","",0.5*TAN(RADIANS(A143)))</x:f>
        <x:v>0.6364945763842119</x:v>
      </x:c>
      <x:c r="U143" s="365" t="n">
        <x:f>IF(A143="","",0.5)</x:f>
        <x:v>0.5</x:v>
      </x:c>
      <x:c r="V143" s="365" t="n">
        <x:f>IF(A143="","",SQRT(2))</x:f>
        <x:v>1.4142135623730951</x:v>
      </x:c>
      <x:c r="W143" s="365" t="n">
        <x:f>IF(A143="","",SQRT(T143^2+U143^2))</x:f>
        <x:v>0.809398137980634</x:v>
      </x:c>
      <x:c r="X143" s="365" t="n">
        <x:f>IF(A143="","",SQRT(T143^2+2*U143^2))</x:f>
        <x:v>0.9513807575132668</x:v>
      </x:c>
      <x:c r="Y143" s="127"/>
      <x:c r="Z143" s="127"/>
      <x:c r="AA143" s="127"/>
      <x:c r="AB143" s="127"/>
      <x:c r="AC143" s="127"/>
      <x:c r="AD143" s="127"/>
      <x:c r="AE143" s="127"/>
      <x:c r="AF143" s="127"/>
      <x:c r="AG143" s="127"/>
      <x:c r="AH143" s="127"/>
      <x:c r="AI143" s="127"/>
      <x:c r="AJ143" s="127"/>
      <x:c r="AK143" s="127"/>
      <x:c r="AL143" s="127"/>
    </x:row>
    <x:row r="144">
      <x:c r="A144" s="367" t="n">
        <x:f>IF(A143="","",IF(A143+'00_Start'!$B$12&lt;='00_Start'!$B$11,A143+'00_Start'!$B$12,""))</x:f>
        <x:v>51.84900000000033</x:v>
      </x:c>
      <x:c r="B144" s="367" t="n">
        <x:f>IF(A144="","",2/TAN(RADIANS(A144)))</x:f>
        <x:v>1.5710770728601038</x:v>
      </x:c>
      <x:c r="C144" s="369" t="n">
        <x:f>IF($A144="","",ABS(2/T144-'02_Constants'!$D$6)/'02_Constants'!$D$6)</x:f>
        <x:v>0.00017872849612531893</x:v>
      </x:c>
      <x:c r="D144" s="369" t="n">
        <x:f>IF($A144="","",ABS(2/(T144+2*V144)-'02_Constants'!$D$7)/'02_Constants'!$D$7)</x:f>
        <x:v>0.000006841733888759921</x:v>
      </x:c>
      <x:c r="E144" s="369" t="n">
        <x:f>IF($A144="","",ABS((T144+2*V144)/2-'02_Constants'!$D$8)/'02_Constants'!$D$8)</x:f>
        <x:v>0.00024003920968517902</x:v>
      </x:c>
      <x:c r="F144" s="369" t="n">
        <x:f>IF($A144="","",ABS((T144+2*V144)/V144-'02_Constants'!$D$9)/'02_Constants'!$D$9)</x:f>
        <x:v>0.00024003920968516292</x:v>
      </x:c>
      <x:c r="G144" s="369" t="n">
        <x:f>IF($A144="","",ABS(V144-'02_Constants'!$D$10)/'02_Constants'!$D$10)</x:f>
        <x:v>0</x:v>
      </x:c>
      <x:c r="H144" s="369" t="n">
        <x:f>IF($A144="","",ABS((W144+1)/W144-'02_Constants'!$D$11)/'02_Constants'!$D$11)</x:f>
        <x:v>0.00026644375993251004</x:v>
      </x:c>
      <x:c r="I144" s="369" t="n">
        <x:f>IF($A144="","",ABS((U144+2*V144)/(W144+1)-'02_Constants'!$D$12)/'02_Constants'!$D$12)</x:f>
        <x:v>0.00012276265068135396</x:v>
      </x:c>
      <x:c r="J144" s="369" t="n">
        <x:f>IF($A144="","",ABS(X144/U144-'02_Constants'!$D$13)/'02_Constants'!$D$13)</x:f>
        <x:v>0.0003239639666649262</x:v>
      </x:c>
      <x:c r="K144" s="369" t="n">
        <x:f>IF($A144="","",ABS(W144/(W144+U144)-'02_Constants'!$D$14)/'02_Constants'!$D$14)</x:f>
        <x:v>0.00018414201210584263</x:v>
      </x:c>
      <x:c r="L144" s="369" t="n">
        <x:f>IF($A144="","",ABS(W144/U144-'02_Constants'!$D$15)/'02_Constants'!$D$15)</x:f>
        <x:v>0.0004822337270413072</x:v>
      </x:c>
      <x:c r="M144" s="369" t="n">
        <x:f>IF($A144="","",ABS(2*A144/(90-A144)-'02_Constants'!$D$16)/'02_Constants'!$D$16)</x:f>
        <x:v>0.00006913867010558462</x:v>
      </x:c>
      <x:c r="N144" s="369" t="n">
        <x:f>IF($A144="","",ABS(2*A144/(90-A144)-1-'02_Constants'!$D$17)/'02_Constants'!$D$17)</x:f>
        <x:v>0.00010937576565095749</x:v>
      </x:c>
      <x:c r="O144" s="369" t="n">
        <x:f>IF(A144="","",AVERAGE(C144:N144))</x:f>
        <x:v>0.00018530910013057523</x:v>
      </x:c>
      <x:c r="P144" s="369" t="n">
        <x:f>IF(A144="","",SUMPRODUCT(C144:N144,'03_12_Errors'!$P$4:$AA$4)/SUM('03_12_Errors'!$P$4:$AA$4))</x:f>
        <x:v>0.00019799314702157627</x:v>
      </x:c>
      <x:c r="Q144" s="369" t="n">
        <x:f>IF(A144="","",SQRT(SUMSQ(C144:N144)/12))</x:f>
        <x:v>0.000227567716709991</x:v>
      </x:c>
      <x:c r="R144" s="369" t="n">
        <x:f>IF(A144="","",MAX(C144:N144))</x:f>
        <x:v>0.0004822337270413072</x:v>
      </x:c>
      <x:c r="S144" s="390" t="n">
        <x:f>IF(A144="","",COUNTIF(C144:N144,"&lt;="&amp;'00_Start'!$B$7))</x:f>
        <x:v>12</x:v>
      </x:c>
      <x:c r="T144" s="365" t="n">
        <x:f>IF(A144="","",0.5*TAN(RADIANS(A144)))</x:f>
        <x:v>0.6365060106055311</x:v>
      </x:c>
      <x:c r="U144" s="365" t="n">
        <x:f>IF(A144="","",0.5)</x:f>
        <x:v>0.5</x:v>
      </x:c>
      <x:c r="V144" s="365" t="n">
        <x:f>IF(A144="","",SQRT(2))</x:f>
        <x:v>1.4142135623730951</x:v>
      </x:c>
      <x:c r="W144" s="365" t="n">
        <x:f>IF(A144="","",SQRT(T144^2+U144^2))</x:f>
        <x:v>0.8094071296553846</x:v>
      </x:c>
      <x:c r="X144" s="365" t="n">
        <x:f>IF(A144="","",SQRT(T144^2+2*U144^2))</x:f>
        <x:v>0.951388407295868</x:v>
      </x:c>
      <x:c r="Y144" s="127"/>
      <x:c r="Z144" s="127"/>
      <x:c r="AA144" s="127"/>
      <x:c r="AB144" s="127"/>
      <x:c r="AC144" s="127"/>
      <x:c r="AD144" s="127"/>
      <x:c r="AE144" s="127"/>
      <x:c r="AF144" s="127"/>
      <x:c r="AG144" s="127"/>
      <x:c r="AH144" s="127"/>
      <x:c r="AI144" s="127"/>
      <x:c r="AJ144" s="127"/>
      <x:c r="AK144" s="127"/>
      <x:c r="AL144" s="127"/>
    </x:row>
    <x:row r="145">
      <x:c r="A145" s="367" t="n">
        <x:f>IF(A144="","",IF(A144+'00_Start'!$B$12&lt;='00_Start'!$B$11,A144+'00_Start'!$B$12,""))</x:f>
        <x:v>51.84950000000033</x:v>
      </x:c>
      <x:c r="B145" s="367" t="n">
        <x:f>IF(A145="","",2/TAN(RADIANS(A145)))</x:f>
        <x:v>1.5710488498440132</x:v>
      </x:c>
      <x:c r="C145" s="369" t="n">
        <x:f>IF($A145="","",ABS(2/T145-'02_Constants'!$D$6)/'02_Constants'!$D$6)</x:f>
        <x:v>0.0001607611660461801</x:v>
      </x:c>
      <x:c r="D145" s="369" t="n">
        <x:f>IF($A145="","",ABS(2/(T145+2*V145)-'02_Constants'!$D$7)/'02_Constants'!$D$7)</x:f>
        <x:v>0.000010141756994082996</x:v>
      </x:c>
      <x:c r="E145" s="369" t="n">
        <x:f>IF($A145="","",ABS((T145+2*V145)/2-'02_Constants'!$D$8)/'02_Constants'!$D$8)</x:f>
        <x:v>0.0002433400584017945</x:v>
      </x:c>
      <x:c r="F145" s="369" t="n">
        <x:f>IF($A145="","",ABS((T145+2*V145)/V145-'02_Constants'!$D$9)/'02_Constants'!$D$9)</x:f>
        <x:v>0.00024334005840181123</x:v>
      </x:c>
      <x:c r="G145" s="369" t="n">
        <x:f>IF($A145="","",ABS(V145-'02_Constants'!$D$10)/'02_Constants'!$D$10)</x:f>
        <x:v>0</x:v>
      </x:c>
      <x:c r="H145" s="369" t="n">
        <x:f>IF($A145="","",ABS((W145+1)/W145-'02_Constants'!$D$11)/'02_Constants'!$D$11)</x:f>
        <x:v>0.00027258179460764616</x:v>
      </x:c>
      <x:c r="I145" s="369" t="n">
        <x:f>IF($A145="","",ABS((U145+2*V145)/(W145+1)-'02_Constants'!$D$12)/'02_Constants'!$D$12)</x:f>
        <x:v>0.00011779251697951387</x:v>
      </x:c>
      <x:c r="J145" s="369" t="n">
        <x:f>IF($A145="","",ABS(X145/U145-'02_Constants'!$D$13)/'02_Constants'!$D$13)</x:f>
        <x:v>0.00033200748155025594</x:v>
      </x:c>
      <x:c r="K145" s="369" t="n">
        <x:f>IF($A145="","",ABS(W145/(W145+U145)-'02_Constants'!$D$14)/'02_Constants'!$D$14)</x:f>
        <x:v>0.0001883848698915385</x:v>
      </x:c>
      <x:c r="L145" s="369" t="n">
        <x:f>IF($A145="","",ABS(W145/U145-'02_Constants'!$D$15)/'02_Constants'!$D$15)</x:f>
        <x:v>0.0004933483713999086</x:v>
      </x:c>
      <x:c r="M145" s="369" t="n">
        <x:f>IF($A145="","",ABS(2*A145/(90-A145)-'02_Constants'!$D$16)/'02_Constants'!$D$16)</x:f>
        <x:v>0.00004639074093458982</x:v>
      </x:c>
      <x:c r="N145" s="369" t="n">
        <x:f>IF($A145="","",ABS(2*A145/(90-A145)-1-'02_Constants'!$D$17)/'02_Constants'!$D$17)</x:f>
        <x:v>0.00007338907157293047</x:v>
      </x:c>
      <x:c r="O145" s="369" t="n">
        <x:f>IF(A145="","",AVERAGE(C145:N145))</x:f>
        <x:v>0.00018178982389835432</x:v>
      </x:c>
      <x:c r="P145" s="369" t="n">
        <x:f>IF(A145="","",SUMPRODUCT(C145:N145,'03_12_Errors'!$P$4:$AA$4)/SUM('03_12_Errors'!$P$4:$AA$4))</x:f>
        <x:v>0.0001923605623436618</x:v>
      </x:c>
      <x:c r="Q145" s="369" t="n">
        <x:f>IF(A145="","",SQRT(SUMSQ(C145:N145)/12))</x:f>
        <x:v>0.00022898329393947583</x:v>
      </x:c>
      <x:c r="R145" s="369" t="n">
        <x:f>IF(A145="","",MAX(C145:N145))</x:f>
        <x:v>0.0004933483713999086</x:v>
      </x:c>
      <x:c r="S145" s="390" t="n">
        <x:f>IF(A145="","",COUNTIF(C145:N145,"&lt;="&amp;'00_Start'!$B$7))</x:f>
        <x:v>12</x:v>
      </x:c>
      <x:c r="T145" s="365" t="n">
        <x:f>IF(A145="","",0.5*TAN(RADIANS(A145)))</x:f>
        <x:v>0.6365174450809015</x:v>
      </x:c>
      <x:c r="U145" s="365" t="n">
        <x:f>IF(A145="","",0.5)</x:f>
        <x:v>0.5</x:v>
      </x:c>
      <x:c r="V145" s="365" t="n">
        <x:f>IF(A145="","",SQRT(2))</x:f>
        <x:v>1.4142135623730951</x:v>
      </x:c>
      <x:c r="W145" s="365" t="n">
        <x:f>IF(A145="","",SQRT(T145^2+U145^2))</x:f>
        <x:v>0.8094161215915572</x:v>
      </x:c>
      <x:c r="X145" s="365" t="n">
        <x:f>IF(A145="","",SQRT(T145^2+2*U145^2))</x:f>
        <x:v>0.9513960573243503</x:v>
      </x:c>
      <x:c r="Y145" s="127"/>
      <x:c r="Z145" s="127"/>
      <x:c r="AA145" s="127"/>
      <x:c r="AB145" s="127"/>
      <x:c r="AC145" s="127"/>
      <x:c r="AD145" s="127"/>
      <x:c r="AE145" s="127"/>
      <x:c r="AF145" s="127"/>
      <x:c r="AG145" s="127"/>
      <x:c r="AH145" s="127"/>
      <x:c r="AI145" s="127"/>
      <x:c r="AJ145" s="127"/>
      <x:c r="AK145" s="127"/>
      <x:c r="AL145" s="127"/>
    </x:row>
    <x:row r="146">
      <x:c r="A146" s="367" t="n">
        <x:f>IF(A145="","",IF(A145+'00_Start'!$B$12&lt;='00_Start'!$B$11,A145+'00_Start'!$B$12,""))</x:f>
        <x:v>51.850000000000335</x:v>
      </x:c>
      <x:c r="B146" s="367" t="n">
        <x:f>IF(A146="","",2/TAN(RADIANS(A146)))</x:f>
        <x:v>1.571020627214857</x:v>
      </x:c>
      <x:c r="C146" s="369" t="n">
        <x:f>IF($A146="","",ABS(2/T146-'02_Constants'!$D$6)/'02_Constants'!$D$6)</x:f>
        <x:v>0.0001427940822971847</x:v>
      </x:c>
      <x:c r="D146" s="369" t="n">
        <x:f>IF($A146="","",ABS(2/(T146+2*V146)-'02_Constants'!$D$7)/'02_Constants'!$D$7)</x:f>
        <x:v>0.000013441831641053673</x:v>
      </x:c>
      <x:c r="E146" s="369" t="n">
        <x:f>IF($A146="","",ABS((T146+2*V146)/2-'02_Constants'!$D$8)/'02_Constants'!$D$8)</x:f>
        <x:v>0.00024664098045956587</x:v>
      </x:c>
      <x:c r="F146" s="369" t="n">
        <x:f>IF($A146="","",ABS((T146+2*V146)/V146-'02_Constants'!$D$9)/'02_Constants'!$D$9)</x:f>
        <x:v>0.0002466409804595694</x:v>
      </x:c>
      <x:c r="G146" s="369" t="n">
        <x:f>IF($A146="","",ABS(V146-'02_Constants'!$D$10)/'02_Constants'!$D$10)</x:f>
        <x:v>0</x:v>
      </x:c>
      <x:c r="H146" s="369" t="n">
        <x:f>IF($A146="","",ABS((W146+1)/W146-'02_Constants'!$D$11)/'02_Constants'!$D$11)</x:f>
        <x:v>0.00027871987135935297</x:v>
      </x:c>
      <x:c r="I146" s="369" t="n">
        <x:f>IF($A146="","",ABS((U146+2*V146)/(W146+1)-'02_Constants'!$D$12)/'02_Constants'!$D$12)</x:f>
        <x:v>0.00011282228817603193</x:v>
      </x:c>
      <x:c r="J146" s="369" t="n">
        <x:f>IF($A146="","",ABS(X146/U146-'02_Constants'!$D$13)/'02_Constants'!$D$13)</x:f>
        <x:v>0.00034005125497442673</x:v>
      </x:c>
      <x:c r="K146" s="369" t="n">
        <x:f>IF($A146="","",ABS(W146/(W146+U146)-'02_Constants'!$D$14)/'02_Constants'!$D$14)</x:f>
        <x:v>0.00019262779275949177</x:v>
      </x:c>
      <x:c r="L146" s="369" t="n">
        <x:f>IF($A146="","",ABS(W146/U146-'02_Constants'!$D$15)/'02_Constants'!$D$15)</x:f>
        <x:v>0.000504463338906492</x:v>
      </x:c>
      <x:c r="M146" s="369" t="n">
        <x:f>IF($A146="","",ABS(2*A146/(90-A146)-'02_Constants'!$D$16)/'02_Constants'!$D$16)</x:f>
        <x:v>0.000023642215487465347</x:v>
      </x:c>
      <x:c r="N146" s="369" t="n">
        <x:f>IF($A146="","",ABS(2*A146/(90-A146)-1-'02_Constants'!$D$17)/'02_Constants'!$D$17)</x:f>
        <x:v>0.00003740143419995542</x:v>
      </x:c>
      <x:c r="O146" s="369" t="n">
        <x:f>IF(A146="","",AVERAGE(C146:N146))</x:f>
        <x:v>0.00017827050589338246</x:v>
      </x:c>
      <x:c r="P146" s="369" t="n">
        <x:f>IF(A146="","",SUMPRODUCT(C146:N146,'03_12_Errors'!$P$4:$AA$4)/SUM('03_12_Errors'!$P$4:$AA$4))</x:f>
        <x:v>0.00018672795258108818</x:v>
      </x:c>
      <x:c r="Q146" s="369" t="n">
        <x:f>IF(A146="","",SQRT(SUMSQ(C146:N146)/12))</x:f>
        <x:v>0.00023126993952739456</x:v>
      </x:c>
      <x:c r="R146" s="369" t="n">
        <x:f>IF(A146="","",MAX(C146:N146))</x:f>
        <x:v>0.000504463338906492</x:v>
      </x:c>
      <x:c r="S146" s="390" t="n">
        <x:f>IF(A146="","",COUNTIF(C146:N146,"&lt;="&amp;'00_Start'!$B$7))</x:f>
        <x:v>12</x:v>
      </x:c>
      <x:c r="T146" s="365" t="n">
        <x:f>IF(A146="","",0.5*TAN(RADIANS(A146)))</x:f>
        <x:v>0.6365288798103332</x:v>
      </x:c>
      <x:c r="U146" s="365" t="n">
        <x:f>IF(A146="","",0.5)</x:f>
        <x:v>0.5</x:v>
      </x:c>
      <x:c r="V146" s="365" t="n">
        <x:f>IF(A146="","",SQRT(2))</x:f>
        <x:v>1.4142135623730951</x:v>
      </x:c>
      <x:c r="W146" s="365" t="n">
        <x:f>IF(A146="","",SQRT(T146^2+U146^2))</x:f>
        <x:v>0.8094251137891619</x:v>
      </x:c>
      <x:c r="X146" s="365" t="n">
        <x:f>IF(A146="","",SQRT(T146^2+2*U146^2))</x:f>
        <x:v>0.9514037075987237</x:v>
      </x:c>
      <x:c r="Y146" s="127"/>
      <x:c r="Z146" s="127"/>
      <x:c r="AA146" s="127"/>
      <x:c r="AB146" s="127"/>
      <x:c r="AC146" s="127"/>
      <x:c r="AD146" s="127"/>
      <x:c r="AE146" s="127"/>
      <x:c r="AF146" s="127"/>
      <x:c r="AG146" s="127"/>
      <x:c r="AH146" s="127"/>
      <x:c r="AI146" s="127"/>
      <x:c r="AJ146" s="127"/>
      <x:c r="AK146" s="127"/>
      <x:c r="AL146" s="127"/>
    </x:row>
    <x:row r="147">
      <x:c r="A147" s="367" t="n">
        <x:f>IF(A146="","",IF(A146+'00_Start'!$B$12&lt;='00_Start'!$B$11,A146+'00_Start'!$B$12,""))</x:f>
        <x:v>51.85050000000034</x:v>
      </x:c>
      <x:c r="B147" s="367" t="n">
        <x:f>IF(A147="","",2/TAN(RADIANS(A147)))</x:f>
        <x:v>1.5709924049726232</x:v>
      </x:c>
      <x:c r="C147" s="369" t="n">
        <x:f>IF($A147="","",ABS(2/T147-'02_Constants'!$D$6)/'02_Constants'!$D$6)</x:f>
        <x:v>0.000124827244870558</x:v>
      </x:c>
      <x:c r="D147" s="369" t="n">
        <x:f>IF($A147="","",ABS(2/(T147+2*V147)-'02_Constants'!$D$7)/'02_Constants'!$D$7)</x:f>
        <x:v>0.000016741957831403023</x:v>
      </x:c>
      <x:c r="E147" s="369" t="n">
        <x:f>IF($A147="","",ABS((T147+2*V147)/2-'02_Constants'!$D$8)/'02_Constants'!$D$8)</x:f>
        <x:v>0.0002499419758615698</x:v>
      </x:c>
      <x:c r="F147" s="369" t="n">
        <x:f>IF($A147="","",ABS((T147+2*V147)/V147-'02_Constants'!$D$9)/'02_Constants'!$D$9)</x:f>
        <x:v>0.0002499419758615194</x:v>
      </x:c>
      <x:c r="G147" s="369" t="n">
        <x:f>IF($A147="","",ABS(V147-'02_Constants'!$D$10)/'02_Constants'!$D$10)</x:f>
        <x:v>0</x:v>
      </x:c>
      <x:c r="H147" s="369" t="n">
        <x:f>IF($A147="","",ABS((W147+1)/W147-'02_Constants'!$D$11)/'02_Constants'!$D$11)</x:f>
        <x:v>0.000284857990186836</x:v>
      </x:c>
      <x:c r="I147" s="369" t="n">
        <x:f>IF($A147="","",ABS((U147+2*V147)/(W147+1)-'02_Constants'!$D$12)/'02_Constants'!$D$12)</x:f>
        <x:v>0.00010785196426885587</x:v>
      </x:c>
      <x:c r="J147" s="369" t="n">
        <x:f>IF($A147="","",ABS(X147/U147-'02_Constants'!$D$13)/'02_Constants'!$D$13)</x:f>
        <x:v>0.00034809528694782773</x:v>
      </x:c>
      <x:c r="K147" s="369" t="n">
        <x:f>IF($A147="","",ABS(W147/(W147+U147)-'02_Constants'!$D$14)/'02_Constants'!$D$14)</x:f>
        <x:v>0.00019687078071095986</x:v>
      </x:c>
      <x:c r="L147" s="369" t="n">
        <x:f>IF($A147="","",ABS(W147/U147-'02_Constants'!$D$15)/'02_Constants'!$D$15)</x:f>
        <x:v>0.0005155786295734083</x:v>
      </x:c>
      <x:c r="M147" s="369" t="n">
        <x:f>IF($A147="","",ABS(2*A147/(90-A147)-'02_Constants'!$D$16)/'02_Constants'!$D$16)</x:f>
        <x:v>8.93093741012462e-7</x:v>
      </x:c>
      <x:c r="N147" s="369" t="n">
        <x:f>IF($A147="","",ABS(2*A147/(90-A147)-1-'02_Constants'!$D$17)/'02_Constants'!$D$17)</x:f>
        <x:v>0.0000014128534953325018</x:v>
      </x:c>
      <x:c r="O147" s="369" t="n">
        <x:f>IF(A147="","",AVERAGE(C147:N147))</x:f>
        <x:v>0.00017475114611244027</x:v>
      </x:c>
      <x:c r="P147" s="369" t="n">
        <x:f>IF(A147="","",SUMPRODUCT(C147:N147,'03_12_Errors'!$P$4:$AA$4)/SUM('03_12_Errors'!$P$4:$AA$4))</x:f>
        <x:v>0.00018109531773010773</x:v>
      </x:c>
      <x:c r="Q147" s="369" t="n">
        <x:f>IF(A147="","",SQRT(SUMSQ(C147:N147)/12))</x:f>
        <x:v>0.00023440221623602798</x:v>
      </x:c>
      <x:c r="R147" s="369" t="n">
        <x:f>IF(A147="","",MAX(C147:N147))</x:f>
        <x:v>0.0005155786295734083</x:v>
      </x:c>
      <x:c r="S147" s="390" t="n">
        <x:f>IF(A147="","",COUNTIF(C147:N147,"&lt;="&amp;'00_Start'!$B$7))</x:f>
        <x:v>12</x:v>
      </x:c>
      <x:c r="T147" s="365" t="n">
        <x:f>IF(A147="","",0.5*TAN(RADIANS(A147)))</x:f>
        <x:v>0.6365403147938367</x:v>
      </x:c>
      <x:c r="U147" s="365" t="n">
        <x:f>IF(A147="","",0.5)</x:f>
        <x:v>0.5</x:v>
      </x:c>
      <x:c r="V147" s="365" t="n">
        <x:f>IF(A147="","",SQRT(2))</x:f>
        <x:v>1.4142135623730951</x:v>
      </x:c>
      <x:c r="W147" s="365" t="n">
        <x:f>IF(A147="","",SQRT(T147^2+U147^2))</x:f>
        <x:v>0.8094341062482089</x:v>
      </x:c>
      <x:c r="X147" s="365" t="n">
        <x:f>IF(A147="","",SQRT(T147^2+2*U147^2))</x:f>
        <x:v>0.9514113581189982</x:v>
      </x:c>
      <x:c r="Y147" s="127"/>
      <x:c r="Z147" s="127"/>
      <x:c r="AA147" s="127"/>
      <x:c r="AB147" s="127"/>
      <x:c r="AC147" s="127"/>
      <x:c r="AD147" s="127"/>
      <x:c r="AE147" s="127"/>
      <x:c r="AF147" s="127"/>
      <x:c r="AG147" s="127"/>
      <x:c r="AH147" s="127"/>
      <x:c r="AI147" s="127"/>
      <x:c r="AJ147" s="127"/>
      <x:c r="AK147" s="127"/>
      <x:c r="AL147" s="127"/>
    </x:row>
    <x:row r="148">
      <x:c r="A148" s="367" t="n">
        <x:f>IF(A147="","",IF(A147+'00_Start'!$B$12&lt;='00_Start'!$B$11,A147+'00_Start'!$B$12,""))</x:f>
        <x:v>51.85100000000034</x:v>
      </x:c>
      <x:c r="B148" s="367" t="n">
        <x:f>IF(A148="","",2/TAN(RADIANS(A148)))</x:f>
        <x:v>1.570964183117299</x:v>
      </x:c>
      <x:c r="C148" s="369" t="n">
        <x:f>IF($A148="","",ABS(2/T148-'02_Constants'!$D$6)/'02_Constants'!$D$6)</x:f>
        <x:v>0.00010686065375824265</x:v>
      </x:c>
      <x:c r="D148" s="369" t="n">
        <x:f>IF($A148="","",ABS(2/(T148+2*V148)-'02_Constants'!$D$7)/'02_Constants'!$D$7)</x:f>
        <x:v>0.000020042135567054455</x:v>
      </x:c>
      <x:c r="E148" s="369" t="n">
        <x:f>IF($A148="","",ABS((T148+2*V148)/2-'02_Constants'!$D$8)/'02_Constants'!$D$8)</x:f>
        <x:v>0.00025324304461062677</x:v>
      </x:c>
      <x:c r="F148" s="369" t="n">
        <x:f>IF($A148="","",ABS((T148+2*V148)/V148-'02_Constants'!$D$9)/'02_Constants'!$D$9)</x:f>
        <x:v>0.0002532430446105621</x:v>
      </x:c>
      <x:c r="G148" s="369" t="n">
        <x:f>IF($A148="","",ABS(V148-'02_Constants'!$D$10)/'02_Constants'!$D$10)</x:f>
        <x:v>0</x:v>
      </x:c>
      <x:c r="H148" s="369" t="n">
        <x:f>IF($A148="","",ABS((W148+1)/W148-'02_Constants'!$D$11)/'02_Constants'!$D$11)</x:f>
        <x:v>0.00029099615108969817</x:v>
      </x:c>
      <x:c r="I148" s="369" t="n">
        <x:f>IF($A148="","",ABS((U148+2*V148)/(W148+1)-'02_Constants'!$D$12)/'02_Constants'!$D$12)</x:f>
        <x:v>0.00010288154525593335</x:v>
      </x:c>
      <x:c r="J148" s="369" t="n">
        <x:f>IF($A148="","",ABS(X148/U148-'02_Constants'!$D$13)/'02_Constants'!$D$13)</x:f>
        <x:v>0.00035613957748131515</x:v>
      </x:c>
      <x:c r="K148" s="369" t="n">
        <x:f>IF($A148="","",ABS(W148/(W148+U148)-'02_Constants'!$D$14)/'02_Constants'!$D$14)</x:f>
        <x:v>0.00020111383374648168</x:v>
      </x:c>
      <x:c r="L148" s="369" t="n">
        <x:f>IF($A148="","",ABS(W148/U148-'02_Constants'!$D$15)/'02_Constants'!$D$15)</x:f>
        <x:v>0.0005266942434132828</x:v>
      </x:c>
      <x:c r="M148" s="369" t="n">
        <x:f>IF($A148="","",ABS(2*A148/(90-A148)-'02_Constants'!$D$16)/'02_Constants'!$D$16)</x:f>
        <x:v>0.00002185662432845767</x:v>
      </x:c>
      <x:c r="N148" s="369" t="n">
        <x:f>IF($A148="","",ABS(2*A148/(90-A148)-1-'02_Constants'!$D$17)/'02_Constants'!$D$17)</x:f>
        <x:v>0.00003457667057841347</x:v>
      </x:c>
      <x:c r="O148" s="369" t="n">
        <x:f>IF(A148="","",AVERAGE(C148:N148))</x:f>
        <x:v>0.00018063729370333906</x:v>
      </x:c>
      <x:c r="P148" s="369" t="n">
        <x:f>IF(A148="","",SUMPRODUCT(C148:N148,'03_12_Errors'!$P$4:$AA$4)/SUM('03_12_Errors'!$P$4:$AA$4))</x:f>
        <x:v>0.00018486820693802708</x:v>
      </x:c>
      <x:c r="Q148" s="369" t="n">
        <x:f>IF(A148="","",SQRT(SUMSQ(C148:N148)/12))</x:f>
        <x:v>0.00023834684025300054</x:v>
      </x:c>
      <x:c r="R148" s="369" t="n">
        <x:f>IF(A148="","",MAX(C148:N148))</x:f>
        <x:v>0.0005266942434132828</x:v>
      </x:c>
      <x:c r="S148" s="390" t="n">
        <x:f>IF(A148="","",COUNTIF(C148:N148,"&lt;="&amp;'00_Start'!$B$7))</x:f>
        <x:v>12</x:v>
      </x:c>
      <x:c r="T148" s="365" t="n">
        <x:f>IF(A148="","",0.5*TAN(RADIANS(A148)))</x:f>
        <x:v>0.6365517500314221</x:v>
      </x:c>
      <x:c r="U148" s="365" t="n">
        <x:f>IF(A148="","",0.5)</x:f>
        <x:v>0.5</x:v>
      </x:c>
      <x:c r="V148" s="365" t="n">
        <x:f>IF(A148="","",SQRT(2))</x:f>
        <x:v>1.4142135623730951</x:v>
      </x:c>
      <x:c r="W148" s="365" t="n">
        <x:f>IF(A148="","",SQRT(T148^2+U148^2))</x:f>
        <x:v>0.8094430989687083</x:v>
      </x:c>
      <x:c r="X148" s="365" t="n">
        <x:f>IF(A148="","",SQRT(T148^2+2*U148^2))</x:f>
        <x:v>0.9514190088851842</x:v>
      </x:c>
      <x:c r="Y148" s="127"/>
      <x:c r="Z148" s="127"/>
      <x:c r="AA148" s="127"/>
      <x:c r="AB148" s="127"/>
      <x:c r="AC148" s="127"/>
      <x:c r="AD148" s="127"/>
      <x:c r="AE148" s="127"/>
      <x:c r="AF148" s="127"/>
      <x:c r="AG148" s="127"/>
      <x:c r="AH148" s="127"/>
      <x:c r="AI148" s="127"/>
      <x:c r="AJ148" s="127"/>
      <x:c r="AK148" s="127"/>
      <x:c r="AL148" s="127"/>
    </x:row>
    <x:row r="149">
      <x:c r="A149" s="367" t="n">
        <x:f>IF(A148="","",IF(A148+'00_Start'!$B$12&lt;='00_Start'!$B$11,A148+'00_Start'!$B$12,""))</x:f>
        <x:v>51.85150000000034</x:v>
      </x:c>
      <x:c r="B149" s="367" t="n">
        <x:f>IF(A149="","",2/TAN(RADIANS(A149)))</x:f>
        <x:v>1.5709359616488727</x:v>
      </x:c>
      <x:c r="C149" s="369" t="n">
        <x:f>IF($A149="","",ABS(2/T149-'02_Constants'!$D$6)/'02_Constants'!$D$6)</x:f>
        <x:v>0.00008889430895288799</x:v>
      </x:c>
      <x:c r="D149" s="369" t="n">
        <x:f>IF($A149="","",ABS(2/(T149+2*V149)-'02_Constants'!$D$7)/'02_Constants'!$D$7)</x:f>
        <x:v>0.0000233423648495467</x:v>
      </x:c>
      <x:c r="E149" s="369" t="n">
        <x:f>IF($A149="","",ABS((T149+2*V149)/2-'02_Constants'!$D$8)/'02_Constants'!$D$8)</x:f>
        <x:v>0.0002565441867096852</x:v>
      </x:c>
      <x:c r="F149" s="369" t="n">
        <x:f>IF($A149="","",ABS((T149+2*V149)/V149-'02_Constants'!$D$9)/'02_Constants'!$D$9)</x:f>
        <x:v>0.0002565441867095983</x:v>
      </x:c>
      <x:c r="G149" s="369" t="n">
        <x:f>IF($A149="","",ABS(V149-'02_Constants'!$D$10)/'02_Constants'!$D$10)</x:f>
        <x:v>0</x:v>
      </x:c>
      <x:c r="H149" s="369" t="n">
        <x:f>IF($A149="","",ABS((W149+1)/W149-'02_Constants'!$D$11)/'02_Constants'!$D$11)</x:f>
        <x:v>0.0002971343540675421</x:v>
      </x:c>
      <x:c r="I149" s="369" t="n">
        <x:f>IF($A149="","",ABS((U149+2*V149)/(W149+1)-'02_Constants'!$D$12)/'02_Constants'!$D$12)</x:f>
        <x:v>0.00009791103113533284</x:v>
      </x:c>
      <x:c r="J149" s="369" t="n">
        <x:f>IF($A149="","",ABS(X149/U149-'02_Constants'!$D$13)/'02_Constants'!$D$13)</x:f>
        <x:v>0.00036418412658516144</x:v>
      </x:c>
      <x:c r="K149" s="369" t="n">
        <x:f>IF($A149="","",ABS(W149/(W149+U149)-'02_Constants'!$D$14)/'02_Constants'!$D$14)</x:f>
        <x:v>0.0002053569518671351</x:v>
      </x:c>
      <x:c r="L149" s="369" t="n">
        <x:f>IF($A149="","",ABS(W149/U149-'02_Constants'!$D$15)/'02_Constants'!$D$15)</x:f>
        <x:v>0.0005378101804384663</x:v>
      </x:c>
      <x:c r="M149" s="369" t="n">
        <x:f>IF($A149="","",ABS(2*A149/(90-A149)-'02_Constants'!$D$16)/'02_Constants'!$D$16)</x:f>
        <x:v>0.00004460693874414378</x:v>
      </x:c>
      <x:c r="N149" s="369" t="n">
        <x:f>IF($A149="","",ABS(2*A149/(90-A149)-1-'02_Constants'!$D$17)/'02_Constants'!$D$17)</x:f>
        <x:v>0.00007056713805798234</x:v>
      </x:c>
      <x:c r="O149" s="369" t="n">
        <x:f>IF(A149="","",AVERAGE(C149:N149))</x:f>
        <x:v>0.00018690798067645683</x:v>
      </x:c>
      <x:c r="P149" s="369" t="n">
        <x:f>IF(A149="","",SUMPRODUCT(C149:N149,'03_12_Errors'!$P$4:$AA$4)/SUM('03_12_Errors'!$P$4:$AA$4))</x:f>
        <x:v>0.0001890256522147394</x:v>
      </x:c>
      <x:c r="Q149" s="369" t="n">
        <x:f>IF(A149="","",SQRT(SUMSQ(C149:N149)/12))</x:f>
        <x:v>0.0002430643165729589</x:v>
      </x:c>
      <x:c r="R149" s="369" t="n">
        <x:f>IF(A149="","",MAX(C149:N149))</x:f>
        <x:v>0.0005378101804384663</x:v>
      </x:c>
      <x:c r="S149" s="390" t="n">
        <x:f>IF(A149="","",COUNTIF(C149:N149,"&lt;="&amp;'00_Start'!$B$7))</x:f>
        <x:v>12</x:v>
      </x:c>
      <x:c r="T149" s="365" t="n">
        <x:f>IF(A149="","",0.5*TAN(RADIANS(A149)))</x:f>
        <x:v>0.6365631855230994</x:v>
      </x:c>
      <x:c r="U149" s="365" t="n">
        <x:f>IF(A149="","",0.5)</x:f>
        <x:v>0.5</x:v>
      </x:c>
      <x:c r="V149" s="365" t="n">
        <x:f>IF(A149="","",SQRT(2))</x:f>
        <x:v>1.4142135623730951</x:v>
      </x:c>
      <x:c r="W149" s="365" t="n">
        <x:f>IF(A149="","",SQRT(T149^2+U149^2))</x:f>
        <x:v>0.80945209195067</x:v>
      </x:c>
      <x:c r="X149" s="365" t="n">
        <x:f>IF(A149="","",SQRT(T149^2+2*U149^2))</x:f>
        <x:v>0.9514266598972912</x:v>
      </x:c>
      <x:c r="Y149" s="127"/>
      <x:c r="Z149" s="127"/>
      <x:c r="AA149" s="127"/>
      <x:c r="AB149" s="127"/>
      <x:c r="AC149" s="127"/>
      <x:c r="AD149" s="127"/>
      <x:c r="AE149" s="127"/>
      <x:c r="AF149" s="127"/>
      <x:c r="AG149" s="127"/>
      <x:c r="AH149" s="127"/>
      <x:c r="AI149" s="127"/>
      <x:c r="AJ149" s="127"/>
      <x:c r="AK149" s="127"/>
      <x:c r="AL149" s="127"/>
    </x:row>
    <x:row r="150">
      <x:c r="A150" s="367" t="n">
        <x:f>IF(A149="","",IF(A149+'00_Start'!$B$12&lt;='00_Start'!$B$11,A149+'00_Start'!$B$12,""))</x:f>
        <x:v>51.852000000000345</x:v>
      </x:c>
      <x:c r="B150" s="367" t="n">
        <x:f>IF(A150="","",2/TAN(RADIANS(A150)))</x:f>
        <x:v>1.5709077405673324</x:v>
      </x:c>
      <x:c r="C150" s="369" t="n">
        <x:f>IF($A150="","",ABS(2/T150-'02_Constants'!$D$6)/'02_Constants'!$D$6)</x:f>
        <x:v>0.00007092821044671935</x:v>
      </x:c>
      <x:c r="D150" s="369" t="n">
        <x:f>IF($A150="","",ABS(2/(T150+2*V150)-'02_Constants'!$D$7)/'02_Constants'!$D$7)</x:f>
        <x:v>0.00002664264568080317</x:v>
      </x:c>
      <x:c r="E150" s="369" t="n">
        <x:f>IF($A150="","",ABS((T150+2*V150)/2-'02_Constants'!$D$8)/'02_Constants'!$D$8)</x:f>
        <x:v>0.00025984540216182183</x:v>
      </x:c>
      <x:c r="F150" s="369" t="n">
        <x:f>IF($A150="","",ABS((T150+2*V150)/V150-'02_Constants'!$D$9)/'02_Constants'!$D$9)</x:f>
        <x:v>0.00025984540216171</x:v>
      </x:c>
      <x:c r="G150" s="369" t="n">
        <x:f>IF($A150="","",ABS(V150-'02_Constants'!$D$10)/'02_Constants'!$D$10)</x:f>
        <x:v>0</x:v>
      </x:c>
      <x:c r="H150" s="369" t="n">
        <x:f>IF($A150="","",ABS((W150+1)/W150-'02_Constants'!$D$11)/'02_Constants'!$D$11)</x:f>
        <x:v>0.0003032725991197721</x:v>
      </x:c>
      <x:c r="I150" s="369" t="n">
        <x:f>IF($A150="","",ABS((U150+2*V150)/(W150+1)-'02_Constants'!$D$12)/'02_Constants'!$D$12)</x:f>
        <x:v>0.00009294042190500202</x:v>
      </x:c>
      <x:c r="J150" s="369" t="n">
        <x:f>IF($A150="","",ABS(X150/U150-'02_Constants'!$D$13)/'02_Constants'!$D$13)</x:f>
        <x:v>0.00037222893427010605</x:v>
      </x:c>
      <x:c r="K150" s="369" t="n">
        <x:f>IF($A150="","",ABS(W150/(W150+U150)-'02_Constants'!$D$14)/'02_Constants'!$D$14)</x:f>
        <x:v>0.00020960013507381826</x:v>
      </x:c>
      <x:c r="L150" s="369" t="n">
        <x:f>IF($A150="","",ABS(W150/U150-'02_Constants'!$D$15)/'02_Constants'!$D$15)</x:f>
        <x:v>0.0005489264406613095</x:v>
      </x:c>
      <x:c r="M150" s="369" t="n">
        <x:f>IF($A150="","",ABS(2*A150/(90-A150)-'02_Constants'!$D$16)/'02_Constants'!$D$16)</x:f>
        <x:v>0.00006735784952957132</x:v>
      </x:c>
      <x:c r="N150" s="369" t="n">
        <x:f>IF($A150="","",ABS(2*A150/(90-A150)-1-'02_Constants'!$D$17)/'02_Constants'!$D$17)</x:f>
        <x:v>0.00010655854898059085</x:v>
      </x:c>
      <x:c r="O150" s="369" t="n">
        <x:f>IF(A150="","",AVERAGE(C150:N150))</x:f>
        <x:v>0.0001931788824992687</x:v>
      </x:c>
      <x:c r="P150" s="369" t="n">
        <x:f>IF(A150="","",SUMPRODUCT(C150:N150,'03_12_Errors'!$P$4:$AA$4)/SUM('03_12_Errors'!$P$4:$AA$4))</x:f>
        <x:v>0.00019318332902722006</x:v>
      </x:c>
      <x:c r="Q150" s="369" t="n">
        <x:f>IF(A150="","",SQRT(SUMSQ(C150:N150)/12))</x:f>
        <x:v>0.00024851068667464143</x:v>
      </x:c>
      <x:c r="R150" s="369" t="n">
        <x:f>IF(A150="","",MAX(C150:N150))</x:f>
        <x:v>0.0005489264406613095</x:v>
      </x:c>
      <x:c r="S150" s="390" t="n">
        <x:f>IF(A150="","",COUNTIF(C150:N150,"&lt;="&amp;'00_Start'!$B$7))</x:f>
        <x:v>12</x:v>
      </x:c>
      <x:c r="T150" s="365" t="n">
        <x:f>IF(A150="","",0.5*TAN(RADIANS(A150)))</x:f>
        <x:v>0.636574621268879</x:v>
      </x:c>
      <x:c r="U150" s="365" t="n">
        <x:f>IF(A150="","",0.5)</x:f>
        <x:v>0.5</x:v>
      </x:c>
      <x:c r="V150" s="365" t="n">
        <x:f>IF(A150="","",SQRT(2))</x:f>
        <x:v>1.4142135623730951</x:v>
      </x:c>
      <x:c r="W150" s="365" t="n">
        <x:f>IF(A150="","",SQRT(T150^2+U150^2))</x:f>
        <x:v>0.8094610851941042</x:v>
      </x:c>
      <x:c r="X150" s="365" t="n">
        <x:f>IF(A150="","",SQRT(T150^2+2*U150^2))</x:f>
        <x:v>0.9514343111553297</x:v>
      </x:c>
      <x:c r="Y150" s="127"/>
      <x:c r="Z150" s="127"/>
      <x:c r="AA150" s="127"/>
      <x:c r="AB150" s="127"/>
      <x:c r="AC150" s="127"/>
      <x:c r="AD150" s="127"/>
      <x:c r="AE150" s="127"/>
      <x:c r="AF150" s="127"/>
      <x:c r="AG150" s="127"/>
      <x:c r="AH150" s="127"/>
      <x:c r="AI150" s="127"/>
      <x:c r="AJ150" s="127"/>
      <x:c r="AK150" s="127"/>
      <x:c r="AL150" s="127"/>
    </x:row>
    <x:row r="151">
      <x:c r="A151" s="367" t="n">
        <x:f>IF(A150="","",IF(A150+'00_Start'!$B$12&lt;='00_Start'!$B$11,A150+'00_Start'!$B$12,""))</x:f>
        <x:v>51.85250000000035</x:v>
      </x:c>
      <x:c r="B151" s="367" t="n">
        <x:f>IF(A151="","",2/TAN(RADIANS(A151)))</x:f>
        <x:v>1.5708795198726648</x:v>
      </x:c>
      <x:c r="C151" s="369" t="n">
        <x:f>IF($A151="","",ABS(2/T151-'02_Constants'!$D$6)/'02_Constants'!$D$6)</x:f>
        <x:v>0.0000529623582313966</x:v>
      </x:c>
      <x:c r="D151" s="369" t="n">
        <x:f>IF($A151="","",ABS(2/(T151+2*V151)-'02_Constants'!$D$7)/'02_Constants'!$D$7)</x:f>
        <x:v>0.00002994297806217025</x:v>
      </x:c>
      <x:c r="E151" s="369" t="n">
        <x:f>IF($A151="","",ABS((T151+2*V151)/2-'02_Constants'!$D$8)/'02_Constants'!$D$8)</x:f>
        <x:v>0.0002631466909698571</x:v>
      </x:c>
      <x:c r="F151" s="369" t="n">
        <x:f>IF($A151="","",ABS((T151+2*V151)/V151-'02_Constants'!$D$9)/'02_Constants'!$D$9)</x:f>
        <x:v>0.000263146690969798</x:v>
      </x:c>
      <x:c r="G151" s="369" t="n">
        <x:f>IF($A151="","",ABS(V151-'02_Constants'!$D$10)/'02_Constants'!$D$10)</x:f>
        <x:v>0</x:v>
      </x:c>
      <x:c r="H151" s="369" t="n">
        <x:f>IF($A151="","",ABS((W151+1)/W151-'02_Constants'!$D$11)/'02_Constants'!$D$11)</x:f>
        <x:v>0.00030941088624618953</x:v>
      </x:c>
      <x:c r="I151" s="369" t="n">
        <x:f>IF($A151="","",ABS((U151+2*V151)/(W151+1)-'02_Constants'!$D$12)/'02_Constants'!$D$12)</x:f>
        <x:v>0.00008796971756300935</x:v>
      </x:c>
      <x:c r="J151" s="369" t="n">
        <x:f>IF($A151="","",ABS(X151/U151-'02_Constants'!$D$13)/'02_Constants'!$D$13)</x:f>
        <x:v>0.00038027400054677166</x:v>
      </x:c>
      <x:c r="K151" s="369" t="n">
        <x:f>IF($A151="","",ABS(W151/(W151+U151)-'02_Constants'!$D$14)/'02_Constants'!$D$14)</x:f>
        <x:v>0.00021384338336724972</x:v>
      </x:c>
      <x:c r="L151" s="369" t="n">
        <x:f>IF($A151="","",ABS(W151/U151-'02_Constants'!$D$15)/'02_Constants'!$D$15)</x:f>
        <x:v>0.0005600430240944377</x:v>
      </x:c>
      <x:c r="M151" s="369" t="n">
        <x:f>IF($A151="","",ABS(2*A151/(90-A151)-'02_Constants'!$D$16)/'02_Constants'!$D$16)</x:f>
        <x:v>0.00009010935670826576</x:v>
      </x:c>
      <x:c r="N151" s="369" t="n">
        <x:f>IF($A151="","",ABS(2*A151/(90-A151)-1-'02_Constants'!$D$17)/'02_Constants'!$D$17)</x:f>
        <x:v>0.00014255090338345574</x:v>
      </x:c>
      <x:c r="O151" s="369" t="n">
        <x:f>IF(A151="","",AVERAGE(C151:N151))</x:f>
        <x:v>0.00019944999917855013</x:v>
      </x:c>
      <x:c r="P151" s="369" t="n">
        <x:f>IF(A151="","",SUMPRODUCT(C151:N151,'03_12_Errors'!$P$4:$AA$4)/SUM('03_12_Errors'!$P$4:$AA$4))</x:f>
        <x:v>0.00019734123738171213</x:v>
      </x:c>
      <x:c r="Q151" s="369" t="n">
        <x:f>IF(A151="","",SQRT(SUMSQ(C151:N151)/12))</x:f>
        <x:v>0.0002546392343685521</x:v>
      </x:c>
      <x:c r="R151" s="369" t="n">
        <x:f>IF(A151="","",MAX(C151:N151))</x:f>
        <x:v>0.0005600430240944377</x:v>
      </x:c>
      <x:c r="S151" s="390" t="n">
        <x:f>IF(A151="","",COUNTIF(C151:N151,"&lt;="&amp;'00_Start'!$B$7))</x:f>
        <x:v>12</x:v>
      </x:c>
      <x:c r="T151" s="365" t="n">
        <x:f>IF(A151="","",0.5*TAN(RADIANS(A151)))</x:f>
        <x:v>0.6365860572687712</x:v>
      </x:c>
      <x:c r="U151" s="365" t="n">
        <x:f>IF(A151="","",0.5)</x:f>
        <x:v>0.5</x:v>
      </x:c>
      <x:c r="V151" s="365" t="n">
        <x:f>IF(A151="","",SQRT(2))</x:f>
        <x:v>1.4142135623730951</x:v>
      </x:c>
      <x:c r="W151" s="365" t="n">
        <x:f>IF(A151="","",SQRT(T151^2+U151^2))</x:f>
        <x:v>0.809470078699021</x:v>
      </x:c>
      <x:c r="X151" s="365" t="n">
        <x:f>IF(A151="","",SQRT(T151^2+2*U151^2))</x:f>
        <x:v>0.9514419626593097</x:v>
      </x:c>
      <x:c r="Y151" s="127"/>
      <x:c r="Z151" s="127"/>
      <x:c r="AA151" s="127"/>
      <x:c r="AB151" s="127"/>
      <x:c r="AC151" s="127"/>
      <x:c r="AD151" s="127"/>
      <x:c r="AE151" s="127"/>
      <x:c r="AF151" s="127"/>
      <x:c r="AG151" s="127"/>
      <x:c r="AH151" s="127"/>
      <x:c r="AI151" s="127"/>
      <x:c r="AJ151" s="127"/>
      <x:c r="AK151" s="127"/>
      <x:c r="AL151" s="127"/>
    </x:row>
    <x:row r="152">
      <x:c r="A152" s="367" t="n">
        <x:f>IF(A151="","",IF(A151+'00_Start'!$B$12&lt;='00_Start'!$B$11,A151+'00_Start'!$B$12,""))</x:f>
        <x:v>51.85300000000035</x:v>
      </x:c>
      <x:c r="B152" s="367" t="n">
        <x:f>IF(A152="","",2/TAN(RADIANS(A152)))</x:f>
        <x:v>1.5708512995648587</x:v>
      </x:c>
      <x:c r="C152" s="369" t="n">
        <x:f>IF($A152="","",ABS(2/T152-'02_Constants'!$D$6)/'02_Constants'!$D$6)</x:f>
        <x:v>0.00003499675229971048</x:v>
      </x:c>
      <x:c r="D152" s="369" t="n">
        <x:f>IF($A152="","",ABS(2/(T152+2*V152)-'02_Constants'!$D$7)/'02_Constants'!$D$7)</x:f>
        <x:v>0.000033243361995763694</x:v>
      </x:c>
      <x:c r="E152" s="369" t="n">
        <x:f>IF($A152="","",ABS((T152+2*V152)/2-'02_Constants'!$D$8)/'02_Constants'!$D$8)</x:f>
        <x:v>0.00026644805313686765</x:v>
      </x:c>
      <x:c r="F152" s="369" t="n">
        <x:f>IF($A152="","",ABS((T152+2*V152)/V152-'02_Constants'!$D$9)/'02_Constants'!$D$9)</x:f>
        <x:v>0.00026644805313676313</x:v>
      </x:c>
      <x:c r="G152" s="369" t="n">
        <x:f>IF($A152="","",ABS(V152-'02_Constants'!$D$10)/'02_Constants'!$D$10)</x:f>
        <x:v>0</x:v>
      </x:c>
      <x:c r="H152" s="369" t="n">
        <x:f>IF($A152="","",ABS((W152+1)/W152-'02_Constants'!$D$11)/'02_Constants'!$D$11)</x:f>
        <x:v>0.00031554921544599995</x:v>
      </x:c>
      <x:c r="I152" s="369" t="n">
        <x:f>IF($A152="","",ABS((U152+2*V152)/(W152+1)-'02_Constants'!$D$12)/'02_Constants'!$D$12)</x:f>
        <x:v>0.0000829989181073025</x:v>
      </x:c>
      <x:c r="J152" s="369" t="n">
        <x:f>IF($A152="","",ABS(X152/U152-'02_Constants'!$D$13)/'02_Constants'!$D$13)</x:f>
        <x:v>0.0003883193254255475</x:v>
      </x:c>
      <x:c r="K152" s="369" t="n">
        <x:f>IF($A152="","",ABS(W152/(W152+U152)-'02_Constants'!$D$14)/'02_Constants'!$D$14)</x:f>
        <x:v>0.0002180866967483277</x:v>
      </x:c>
      <x:c r="L152" s="369" t="n">
        <x:f>IF($A152="","",ABS(W152/U152-'02_Constants'!$D$15)/'02_Constants'!$D$15)</x:f>
        <x:v>0.0005711599307502017</x:v>
      </x:c>
      <x:c r="M152" s="369" t="n">
        <x:f>IF($A152="","",ABS(2*A152/(90-A152)-'02_Constants'!$D$16)/'02_Constants'!$D$16)</x:f>
        <x:v>0.00011286146030375258</x:v>
      </x:c>
      <x:c r="N152" s="369" t="n">
        <x:f>IF($A152="","",ABS(2*A152/(90-A152)-1-'02_Constants'!$D$17)/'02_Constants'!$D$17)</x:f>
        <x:v>0.00017854420130379372</x:v>
      </x:c>
      <x:c r="O152" s="369" t="n">
        <x:f>IF(A152="","",AVERAGE(C152:N152))</x:f>
        <x:v>0.0002057213307211692</x:v>
      </x:c>
      <x:c r="P152" s="369" t="n">
        <x:f>IF(A152="","",SUMPRODUCT(C152:N152,'03_12_Errors'!$P$4:$AA$4)/SUM('03_12_Errors'!$P$4:$AA$4))</x:f>
        <x:v>0.00020149937728460696</x:v>
      </x:c>
      <x:c r="Q152" s="369" t="n">
        <x:f>IF(A152="","",SQRT(SUMSQ(C152:N152)/12))</x:f>
        <x:v>0.00026140203151115484</x:v>
      </x:c>
      <x:c r="R152" s="369" t="n">
        <x:f>IF(A152="","",MAX(C152:N152))</x:f>
        <x:v>0.0005711599307502017</x:v>
      </x:c>
      <x:c r="S152" s="390" t="n">
        <x:f>IF(A152="","",COUNTIF(C152:N152,"&lt;="&amp;'00_Start'!$B$7))</x:f>
        <x:v>12</x:v>
      </x:c>
      <x:c r="T152" s="365" t="n">
        <x:f>IF(A152="","",0.5*TAN(RADIANS(A152)))</x:f>
        <x:v>0.6365974935227859</x:v>
      </x:c>
      <x:c r="U152" s="365" t="n">
        <x:f>IF(A152="","",0.5)</x:f>
        <x:v>0.5</x:v>
      </x:c>
      <x:c r="V152" s="365" t="n">
        <x:f>IF(A152="","",SQRT(2))</x:f>
        <x:v>1.4142135623730951</x:v>
      </x:c>
      <x:c r="W152" s="365" t="n">
        <x:f>IF(A152="","",SQRT(T152^2+U152^2))</x:f>
        <x:v>0.8094790724654304</x:v>
      </x:c>
      <x:c r="X152" s="365" t="n">
        <x:f>IF(A152="","",SQRT(T152^2+2*U152^2))</x:f>
        <x:v>0.951449614409241</x:v>
      </x:c>
      <x:c r="Y152" s="127"/>
      <x:c r="Z152" s="127"/>
      <x:c r="AA152" s="127"/>
      <x:c r="AB152" s="127"/>
      <x:c r="AC152" s="127"/>
      <x:c r="AD152" s="127"/>
      <x:c r="AE152" s="127"/>
      <x:c r="AF152" s="127"/>
      <x:c r="AG152" s="127"/>
      <x:c r="AH152" s="127"/>
      <x:c r="AI152" s="127"/>
      <x:c r="AJ152" s="127"/>
      <x:c r="AK152" s="127"/>
      <x:c r="AL152" s="127"/>
    </x:row>
    <x:row r="153">
      <x:c r="A153" s="367" t="n">
        <x:f>IF(A152="","",IF(A152+'00_Start'!$B$12&lt;='00_Start'!$B$11,A152+'00_Start'!$B$12,""))</x:f>
        <x:v>51.85350000000035</x:v>
      </x:c>
      <x:c r="B153" s="367" t="n">
        <x:f>IF(A153="","",2/TAN(RADIANS(A153)))</x:f>
        <x:v>1.570823079643901</x:v>
      </x:c>
      <x:c r="C153" s="369" t="n">
        <x:f>IF($A153="","",ABS(2/T153-'02_Constants'!$D$6)/'02_Constants'!$D$6)</x:f>
        <x:v>0.000017031392643462235</x:v>
      </x:c>
      <x:c r="D153" s="369" t="n">
        <x:f>IF($A153="","",ABS(2/(T153+2*V153)-'02_Constants'!$D$7)/'02_Constants'!$D$7)</x:f>
        <x:v>0.00003654379748292989</x:v>
      </x:c>
      <x:c r="E153" s="369" t="n">
        <x:f>IF($A153="","",ABS((T153+2*V153)/2-'02_Constants'!$D$8)/'02_Constants'!$D$8)</x:f>
        <x:v>0.0002697494886656739</x:v>
      </x:c>
      <x:c r="F153" s="369" t="n">
        <x:f>IF($A153="","",ABS((T153+2*V153)/V153-'02_Constants'!$D$9)/'02_Constants'!$D$9)</x:f>
        <x:v>0.0002697494886656874</x:v>
      </x:c>
      <x:c r="G153" s="369" t="n">
        <x:f>IF($A153="","",ABS(V153-'02_Constants'!$D$10)/'02_Constants'!$D$10)</x:f>
        <x:v>0</x:v>
      </x:c>
      <x:c r="H153" s="369" t="n">
        <x:f>IF($A153="","",ABS((W153+1)/W153-'02_Constants'!$D$11)/'02_Constants'!$D$11)</x:f>
        <x:v>0.0003216875867188062</x:v>
      </x:c>
      <x:c r="I153" s="369" t="n">
        <x:f>IF($A153="","",ABS((U153+2*V153)/(W153+1)-'02_Constants'!$D$12)/'02_Constants'!$D$12)</x:f>
        <x:v>0.0000780280235359499</x:v>
      </x:c>
      <x:c r="J153" s="369" t="n">
        <x:f>IF($A153="","",ABS(X153/U153-'02_Constants'!$D$13)/'02_Constants'!$D$13)</x:f>
        <x:v>0.00039636490891728965</x:v>
      </x:c>
      <x:c r="K153" s="369" t="n">
        <x:f>IF($A153="","",ABS(W153/(W153+U153)-'02_Constants'!$D$14)/'02_Constants'!$D$14)</x:f>
        <x:v>0.00022233007521795032</x:v>
      </x:c>
      <x:c r="L153" s="369" t="n">
        <x:f>IF($A153="","",ABS(W153/U153-'02_Constants'!$D$15)/'02_Constants'!$D$15)</x:f>
        <x:v>0.000582277160641227</x:v>
      </x:c>
      <x:c r="M153" s="369" t="n">
        <x:f>IF($A153="","",ABS(2*A153/(90-A153)-'02_Constants'!$D$16)/'02_Constants'!$D$16)</x:f>
        <x:v>0.0001356141603392305</x:v>
      </x:c>
      <x:c r="N153" s="369" t="n">
        <x:f>IF($A153="","",ABS(2*A153/(90-A153)-1-'02_Constants'!$D$17)/'02_Constants'!$D$17)</x:f>
        <x:v>0.00021453844277830465</x:v>
      </x:c>
      <x:c r="O153" s="369" t="n">
        <x:f>IF(A153="","",AVERAGE(C153:N153))</x:f>
        <x:v>0.000211992877133876</x:v>
      </x:c>
      <x:c r="P153" s="369" t="n">
        <x:f>IF(A153="","",SUMPRODUCT(C153:N153,'03_12_Errors'!$P$4:$AA$4)/SUM('03_12_Errors'!$P$4:$AA$4))</x:f>
        <x:v>0.00020565774874214908</x:v>
      </x:c>
      <x:c r="Q153" s="369" t="n">
        <x:f>IF(A153="","",SQRT(SUMSQ(C153:N153)/12))</x:f>
        <x:v>0.00026875124894789357</x:v>
      </x:c>
      <x:c r="R153" s="369" t="n">
        <x:f>IF(A153="","",MAX(C153:N153))</x:f>
        <x:v>0.000582277160641227</x:v>
      </x:c>
      <x:c r="S153" s="390" t="n">
        <x:f>IF(A153="","",COUNTIF(C153:N153,"&lt;="&amp;'00_Start'!$B$7))</x:f>
        <x:v>12</x:v>
      </x:c>
      <x:c r="T153" s="365" t="n">
        <x:f>IF(A153="","",0.5*TAN(RADIANS(A153)))</x:f>
        <x:v>0.6366089300309337</x:v>
      </x:c>
      <x:c r="U153" s="365" t="n">
        <x:f>IF(A153="","",0.5)</x:f>
        <x:v>0.5</x:v>
      </x:c>
      <x:c r="V153" s="365" t="n">
        <x:f>IF(A153="","",SQRT(2))</x:f>
        <x:v>1.4142135623730951</x:v>
      </x:c>
      <x:c r="W153" s="365" t="n">
        <x:f>IF(A153="","",SQRT(T153^2+U153^2))</x:f>
        <x:v>0.8094880664933426</x:v>
      </x:c>
      <x:c r="X153" s="365" t="n">
        <x:f>IF(A153="","",SQRT(T153^2+2*U153^2))</x:f>
        <x:v>0.9514572664051341</x:v>
      </x:c>
      <x:c r="Y153" s="127"/>
      <x:c r="Z153" s="127"/>
      <x:c r="AA153" s="127"/>
      <x:c r="AB153" s="127"/>
      <x:c r="AC153" s="127"/>
      <x:c r="AD153" s="127"/>
      <x:c r="AE153" s="127"/>
      <x:c r="AF153" s="127"/>
      <x:c r="AG153" s="127"/>
      <x:c r="AH153" s="127"/>
      <x:c r="AI153" s="127"/>
      <x:c r="AJ153" s="127"/>
      <x:c r="AK153" s="127"/>
      <x:c r="AL153" s="127"/>
    </x:row>
    <x:row r="154">
      <x:c r="A154" s="367" t="n">
        <x:f>IF(A153="","",IF(A153+'00_Start'!$B$12&lt;='00_Start'!$B$11,A153+'00_Start'!$B$12,""))</x:f>
        <x:v>51.854000000000354</x:v>
      </x:c>
      <x:c r="B154" s="367" t="n">
        <x:f>IF(A154="","",2/TAN(RADIANS(A154)))</x:f>
        <x:v>1.5707948601097799</x:v>
      </x:c>
      <x:c r="C154" s="369" t="n">
        <x:f>IF($A154="","",ABS(2/T154-'02_Constants'!$D$6)/'02_Constants'!$D$6)</x:f>
        <x:v>9.337207451228231e-7</x:v>
      </x:c>
      <x:c r="D154" s="369" t="n">
        <x:f>IF($A154="","",ABS(2/(T154+2*V154)-'02_Constants'!$D$7)/'02_Constants'!$D$7)</x:f>
        <x:v>0.00003984428452559225</x:v>
      </x:c>
      <x:c r="E154" s="369" t="n">
        <x:f>IF($A154="","",ABS((T154+2*V154)/2-'02_Constants'!$D$8)/'02_Constants'!$D$8)</x:f>
        <x:v>0.00027305099755935256</x:v>
      </x:c>
      <x:c r="F154" s="369" t="n">
        <x:f>IF($A154="","",ABS((T154+2*V154)/V154-'02_Constants'!$D$9)/'02_Constants'!$D$9)</x:f>
        <x:v>0.0002730509975592903</x:v>
      </x:c>
      <x:c r="G154" s="369" t="n">
        <x:f>IF($A154="","",ABS(V154-'02_Constants'!$D$10)/'02_Constants'!$D$10)</x:f>
        <x:v>0</x:v>
      </x:c>
      <x:c r="H154" s="369" t="n">
        <x:f>IF($A154="","",ABS((W154+1)/W154-'02_Constants'!$D$11)/'02_Constants'!$D$11)</x:f>
        <x:v>0.0003278260000642111</x:v>
      </x:c>
      <x:c r="I154" s="369" t="n">
        <x:f>IF($A154="","",ABS((U154+2*V154)/(W154+1)-'02_Constants'!$D$12)/'02_Constants'!$D$12)</x:f>
        <x:v>0.00007305703384677856</x:v>
      </x:c>
      <x:c r="J154" s="369" t="n">
        <x:f>IF($A154="","",ABS(X154/U154-'02_Constants'!$D$13)/'02_Constants'!$D$13)</x:f>
        <x:v>0.00040441075103238744</x:v>
      </x:c>
      <x:c r="K154" s="369" t="n">
        <x:f>IF($A154="","",ABS(W154/(W154+U154)-'02_Constants'!$D$14)/'02_Constants'!$D$14)</x:f>
        <x:v>0.0002265735187771955</x:v>
      </x:c>
      <x:c r="L154" s="369" t="n">
        <x:f>IF($A154="","",ABS(W154/U154-'02_Constants'!$D$15)/'02_Constants'!$D$15)</x:f>
        <x:v>0.0005933947137798639</x:v>
      </x:c>
      <x:c r="M154" s="369" t="n">
        <x:f>IF($A154="","",ABS(2*A154/(90-A154)-'02_Constants'!$D$16)/'02_Constants'!$D$16)</x:f>
        <x:v>0.00015836745683838832</x:v>
      </x:c>
      <x:c r="N154" s="369" t="n">
        <x:f>IF($A154="","",ABS(2*A154/(90-A154)-1-'02_Constants'!$D$17)/'02_Constants'!$D$17)</x:f>
        <x:v>0.00025053362784446375</x:v>
      </x:c>
      <x:c r="O154" s="369" t="n">
        <x:f>IF(A154="","",AVERAGE(C154:N154))</x:f>
        <x:v>0.00021842025854772055</x:v>
      </x:c>
      <x:c r="P154" s="369" t="n">
        <x:f>IF(A154="","",SUMPRODUCT(C154:N154,'03_12_Errors'!$P$4:$AA$4)/SUM('03_12_Errors'!$P$4:$AA$4))</x:f>
        <x:v>0.00021012759200903614</x:v>
      </x:c>
      <x:c r="Q154" s="369" t="n">
        <x:f>IF(A154="","",SQRT(SUMSQ(C154:N154)/12))</x:f>
        <x:v>0.00027664019972739714</x:v>
      </x:c>
      <x:c r="R154" s="369" t="n">
        <x:f>IF(A154="","",MAX(C154:N154))</x:f>
        <x:v>0.0005933947137798639</x:v>
      </x:c>
      <x:c r="S154" s="390" t="n">
        <x:f>IF(A154="","",COUNTIF(C154:N154,"&lt;="&amp;'00_Start'!$B$7))</x:f>
        <x:v>12</x:v>
      </x:c>
      <x:c r="T154" s="365" t="n">
        <x:f>IF(A154="","",0.5*TAN(RADIANS(A154)))</x:f>
        <x:v>0.6366203667932246</x:v>
      </x:c>
      <x:c r="U154" s="365" t="n">
        <x:f>IF(A154="","",0.5)</x:f>
        <x:v>0.5</x:v>
      </x:c>
      <x:c r="V154" s="365" t="n">
        <x:f>IF(A154="","",SQRT(2))</x:f>
        <x:v>1.4142135623730951</x:v>
      </x:c>
      <x:c r="W154" s="365" t="n">
        <x:f>IF(A154="","",SQRT(T154^2+U154^2))</x:f>
        <x:v>0.8094970607827676</x:v>
      </x:c>
      <x:c r="X154" s="365" t="n">
        <x:f>IF(A154="","",SQRT(T154^2+2*U154^2))</x:f>
        <x:v>0.9514649186469987</x:v>
      </x:c>
      <x:c r="Y154" s="127"/>
      <x:c r="Z154" s="127"/>
      <x:c r="AA154" s="127"/>
      <x:c r="AB154" s="127"/>
      <x:c r="AC154" s="127"/>
      <x:c r="AD154" s="127"/>
      <x:c r="AE154" s="127"/>
      <x:c r="AF154" s="127"/>
      <x:c r="AG154" s="127"/>
      <x:c r="AH154" s="127"/>
      <x:c r="AI154" s="127"/>
      <x:c r="AJ154" s="127"/>
      <x:c r="AK154" s="127"/>
      <x:c r="AL154" s="127"/>
    </x:row>
    <x:row r="155">
      <x:c r="A155" s="367" t="n">
        <x:f>IF(A154="","",IF(A154+'00_Start'!$B$12&lt;='00_Start'!$B$11,A154+'00_Start'!$B$12,""))</x:f>
        <x:v>51.85450000000036</x:v>
      </x:c>
      <x:c r="B155" s="367" t="n">
        <x:f>IF(A155="","",2/TAN(RADIANS(A155)))</x:f>
        <x:v>1.5707666409624834</x:v>
      </x:c>
      <x:c r="C155" s="369" t="n">
        <x:f>IF($A155="","",ABS(2/T155-'02_Constants'!$D$6)/'02_Constants'!$D$6)</x:f>
        <x:v>0.000018898587873395313</x:v>
      </x:c>
      <x:c r="D155" s="369" t="n">
        <x:f>IF($A155="","",ABS(2/(T155+2*V155)-'02_Constants'!$D$7)/'02_Constants'!$D$7)</x:f>
        <x:v>0.000043144823125481836</x:v>
      </x:c>
      <x:c r="E155" s="369" t="n">
        <x:f>IF($A155="","",ABS((T155+2*V155)/2-'02_Constants'!$D$8)/'02_Constants'!$D$8)</x:f>
        <x:v>0.000276352579820724</x:v>
      </x:c>
      <x:c r="F155" s="369" t="n">
        <x:f>IF($A155="","",ABS((T155+2*V155)/V155-'02_Constants'!$D$9)/'02_Constants'!$D$9)</x:f>
        <x:v>0.000276352579820654</x:v>
      </x:c>
      <x:c r="G155" s="369" t="n">
        <x:f>IF($A155="","",ABS(V155-'02_Constants'!$D$10)/'02_Constants'!$D$10)</x:f>
        <x:v>0</x:v>
      </x:c>
      <x:c r="H155" s="369" t="n">
        <x:f>IF($A155="","",ABS((W155+1)/W155-'02_Constants'!$D$11)/'02_Constants'!$D$11)</x:f>
        <x:v>0.00033396445548181737</x:v>
      </x:c>
      <x:c r="I155" s="369" t="n">
        <x:f>IF($A155="","",ABS((U155+2*V155)/(W155+1)-'02_Constants'!$D$12)/'02_Constants'!$D$12)</x:f>
        <x:v>0.00006808594903797762</x:v>
      </x:c>
      <x:c r="J155" s="369" t="n">
        <x:f>IF($A155="","",ABS(X155/U155-'02_Constants'!$D$13)/'02_Constants'!$D$13)</x:f>
        <x:v>0.00041245685178134675</x:v>
      </x:c>
      <x:c r="K155" s="369" t="n">
        <x:f>IF($A155="","",ABS(W155/(W155+U155)-'02_Constants'!$D$14)/'02_Constants'!$D$14)</x:f>
        <x:v>0.00023081702742642246</x:v>
      </x:c>
      <x:c r="L155" s="369" t="n">
        <x:f>IF($A155="","",ABS(W155/U155-'02_Constants'!$D$15)/'02_Constants'!$D$15)</x:f>
        <x:v>0.0006045125901784637</x:v>
      </x:c>
      <x:c r="M155" s="369" t="n">
        <x:f>IF($A155="","",ABS(2*A155/(90-A155)-'02_Constants'!$D$16)/'02_Constants'!$D$16)</x:f>
        <x:v>0.00018112134982458818</x:v>
      </x:c>
      <x:c r="N155" s="369" t="n">
        <x:f>IF($A155="","",ABS(2*A155/(90-A155)-1-'02_Constants'!$D$17)/'02_Constants'!$D$17)</x:f>
        <x:v>0.00028652975653922926</x:v>
      </x:c>
      <x:c r="O155" s="369" t="n">
        <x:f>IF(A155="","",AVERAGE(C155:N155))</x:f>
        <x:v>0.00022768637924250836</x:v>
      </x:c>
      <x:c r="P155" s="369" t="n">
        <x:f>IF(A155="","",SUMPRODUCT(C155:N155,'03_12_Errors'!$P$4:$AA$4)/SUM('03_12_Errors'!$P$4:$AA$4))</x:f>
        <x:v>0.0002202747156376361</x:v>
      </x:c>
      <x:c r="Q155" s="369" t="n">
        <x:f>IF(A155="","",SQRT(SUMSQ(C155:N155)/12))</x:f>
        <x:v>0.00028502411510186916</x:v>
      </x:c>
      <x:c r="R155" s="369" t="n">
        <x:f>IF(A155="","",MAX(C155:N155))</x:f>
        <x:v>0.0006045125901784637</x:v>
      </x:c>
      <x:c r="S155" s="390" t="n">
        <x:f>IF(A155="","",COUNTIF(C155:N155,"&lt;="&amp;'00_Start'!$B$7))</x:f>
        <x:v>12</x:v>
      </x:c>
      <x:c r="T155" s="365" t="n">
        <x:f>IF(A155="","",0.5*TAN(RADIANS(A155)))</x:f>
        <x:v>0.6366318038096687</x:v>
      </x:c>
      <x:c r="U155" s="365" t="n">
        <x:f>IF(A155="","",0.5)</x:f>
        <x:v>0.5</x:v>
      </x:c>
      <x:c r="V155" s="365" t="n">
        <x:f>IF(A155="","",SQRT(2))</x:f>
        <x:v>1.4142135623730951</x:v>
      </x:c>
      <x:c r="W155" s="365" t="n">
        <x:f>IF(A155="","",SQRT(T155^2+U155^2))</x:f>
        <x:v>0.8095060553337154</x:v>
      </x:c>
      <x:c r="X155" s="365" t="n">
        <x:f>IF(A155="","",SQRT(T155^2+2*U155^2))</x:f>
        <x:v>0.9514725711348448</x:v>
      </x:c>
      <x:c r="Y155" s="127"/>
      <x:c r="Z155" s="127"/>
      <x:c r="AA155" s="127"/>
      <x:c r="AB155" s="127"/>
      <x:c r="AC155" s="127"/>
      <x:c r="AD155" s="127"/>
      <x:c r="AE155" s="127"/>
      <x:c r="AF155" s="127"/>
      <x:c r="AG155" s="127"/>
      <x:c r="AH155" s="127"/>
      <x:c r="AI155" s="127"/>
      <x:c r="AJ155" s="127"/>
      <x:c r="AK155" s="127"/>
      <x:c r="AL155" s="127"/>
    </x:row>
    <x:row r="156">
      <x:c r="A156" s="367" t="n">
        <x:f>IF(A155="","",IF(A155+'00_Start'!$B$12&lt;='00_Start'!$B$11,A155+'00_Start'!$B$12,""))</x:f>
        <x:v>51.85500000000036</x:v>
      </x:c>
      <x:c r="B156" s="367" t="n">
        <x:f>IF(A156="","",2/TAN(RADIANS(A156)))</x:f>
        <x:v>1.5707384222019984</x:v>
      </x:c>
      <x:c r="C156" s="369" t="n">
        <x:f>IF($A156="","",ABS(2/T156-'02_Constants'!$D$6)/'02_Constants'!$D$6)</x:f>
        <x:v>0.000036863208749836714</x:v>
      </x:c>
      <x:c r="D156" s="369" t="n">
        <x:f>IF($A156="","",ABS(2/(T156+2*V156)-'02_Constants'!$D$7)/'02_Constants'!$D$7)</x:f>
        <x:v>0.000046445413284329726</x:v>
      </x:c>
      <x:c r="E156" s="369" t="n">
        <x:f>IF($A156="","",ABS((T156+2*V156)/2-'02_Constants'!$D$8)/'02_Constants'!$D$8)</x:f>
        <x:v>0.0002796542354528649</x:v>
      </x:c>
      <x:c r="F156" s="369" t="n">
        <x:f>IF($A156="","",ABS((T156+2*V156)/V156-'02_Constants'!$D$9)/'02_Constants'!$D$9)</x:f>
        <x:v>0.00027965423545286045</x:v>
      </x:c>
      <x:c r="G156" s="369" t="n">
        <x:f>IF($A156="","",ABS(V156-'02_Constants'!$D$10)/'02_Constants'!$D$10)</x:f>
        <x:v>0</x:v>
      </x:c>
      <x:c r="H156" s="369" t="n">
        <x:f>IF($A156="","",ABS((W156+1)/W156-'02_Constants'!$D$11)/'02_Constants'!$D$11)</x:f>
        <x:v>0.0003401029529712278</x:v>
      </x:c>
      <x:c r="I156" s="369" t="n">
        <x:f>IF($A156="","",ABS((U156+2*V156)/(W156+1)-'02_Constants'!$D$12)/'02_Constants'!$D$12)</x:f>
        <x:v>0.00006311476910737405</x:v>
      </x:c>
      <x:c r="J156" s="369" t="n">
        <x:f>IF($A156="","",ABS(X156/U156-'02_Constants'!$D$13)/'02_Constants'!$D$13)</x:f>
        <x:v>0.00042050321117514055</x:v>
      </x:c>
      <x:c r="K156" s="369" t="n">
        <x:f>IF($A156="","",ABS(W156/(W156+U156)-'02_Constants'!$D$14)/'02_Constants'!$D$14)</x:f>
        <x:v>0.00023506060116724797</x:v>
      </x:c>
      <x:c r="L156" s="369" t="n">
        <x:f>IF($A156="","",ABS(W156/U156-'02_Constants'!$D$15)/'02_Constants'!$D$15)</x:f>
        <x:v>0.0006156307898499257</x:v>
      </x:c>
      <x:c r="M156" s="369" t="n">
        <x:f>IF($A156="","",ABS(2*A156/(90-A156)-'02_Constants'!$D$16)/'02_Constants'!$D$16)</x:f>
        <x:v>0.00020387583932119215</x:v>
      </x:c>
      <x:c r="N156" s="369" t="n">
        <x:f>IF($A156="","",ABS(2*A156/(90-A156)-1-'02_Constants'!$D$17)/'02_Constants'!$D$17)</x:f>
        <x:v>0.0003225268288995595</x:v>
      </x:c>
      <x:c r="O156" s="369" t="n">
        <x:f>IF(A156="","",AVERAGE(C156:N156))</x:f>
        <x:v>0.00023695267378596327</x:v>
      </x:c>
      <x:c r="P156" s="369" t="n">
        <x:f>IF(A156="","",SUMPRODUCT(C156:N156,'03_12_Errors'!$P$4:$AA$4)/SUM('03_12_Errors'!$P$4:$AA$4))</x:f>
        <x:v>0.00023042198875592435</x:v>
      </x:c>
      <x:c r="Q156" s="369" t="n">
        <x:f>IF(A156="","",SQRT(SUMSQ(C156:N156)/12))</x:f>
        <x:v>0.0002938606766744866</x:v>
      </x:c>
      <x:c r="R156" s="369" t="n">
        <x:f>IF(A156="","",MAX(C156:N156))</x:f>
        <x:v>0.0006156307898499257</x:v>
      </x:c>
      <x:c r="S156" s="390" t="n">
        <x:f>IF(A156="","",COUNTIF(C156:N156,"&lt;="&amp;'00_Start'!$B$7))</x:f>
        <x:v>12</x:v>
      </x:c>
      <x:c r="T156" s="365" t="n">
        <x:f>IF(A156="","",0.5*TAN(RADIANS(A156)))</x:f>
        <x:v>0.6366432410802765</x:v>
      </x:c>
      <x:c r="U156" s="365" t="n">
        <x:f>IF(A156="","",0.5)</x:f>
        <x:v>0.5</x:v>
      </x:c>
      <x:c r="V156" s="365" t="n">
        <x:f>IF(A156="","",SQRT(2))</x:f>
        <x:v>1.4142135623730951</x:v>
      </x:c>
      <x:c r="W156" s="365" t="n">
        <x:f>IF(A156="","",SQRT(T156^2+U156^2))</x:f>
        <x:v>0.8095150501461965</x:v>
      </x:c>
      <x:c r="X156" s="365" t="n">
        <x:f>IF(A156="","",SQRT(T156^2+2*U156^2))</x:f>
        <x:v>0.951480223868683</x:v>
      </x:c>
      <x:c r="Y156" s="127"/>
      <x:c r="Z156" s="127"/>
      <x:c r="AA156" s="127"/>
      <x:c r="AB156" s="127"/>
      <x:c r="AC156" s="127"/>
      <x:c r="AD156" s="127"/>
      <x:c r="AE156" s="127"/>
      <x:c r="AF156" s="127"/>
      <x:c r="AG156" s="127"/>
      <x:c r="AH156" s="127"/>
      <x:c r="AI156" s="127"/>
      <x:c r="AJ156" s="127"/>
      <x:c r="AK156" s="127"/>
      <x:c r="AL156" s="127"/>
    </x:row>
    <x:row r="157">
      <x:c r="A157" s="367" t="n">
        <x:f>IF(A156="","",IF(A156+'00_Start'!$B$12&lt;='00_Start'!$B$11,A156+'00_Start'!$B$12,""))</x:f>
        <x:v>51.85550000000036</x:v>
      </x:c>
      <x:c r="B157" s="367" t="n">
        <x:f>IF(A157="","",2/TAN(RADIANS(A157)))</x:f>
        <x:v>1.5707102038283136</x:v>
      </x:c>
      <x:c r="C157" s="369" t="n">
        <x:f>IF($A157="","",ABS(2/T157-'02_Constants'!$D$6)/'02_Constants'!$D$6)</x:f>
        <x:v>0.000054827583381656285</x:v>
      </x:c>
      <x:c r="D157" s="369" t="n">
        <x:f>IF($A157="","",ABS(2/(T157+2*V157)-'02_Constants'!$D$7)/'02_Constants'!$D$7)</x:f>
        <x:v>0.000049746055003482306</x:v>
      </x:c>
      <x:c r="E157" s="369" t="n">
        <x:f>IF($A157="","",ABS((T157+2*V157)/2-'02_Constants'!$D$8)/'02_Constants'!$D$8)</x:f>
        <x:v>0.00028295596445859566</x:v>
      </x:c>
      <x:c r="F157" s="369" t="n">
        <x:f>IF($A157="","",ABS((T157+2*V157)/V157-'02_Constants'!$D$9)/'02_Constants'!$D$9)</x:f>
        <x:v>0.0002829559644586292</x:v>
      </x:c>
      <x:c r="G157" s="369" t="n">
        <x:f>IF($A157="","",ABS(V157-'02_Constants'!$D$10)/'02_Constants'!$D$10)</x:f>
        <x:v>0</x:v>
      </x:c>
      <x:c r="H157" s="369" t="n">
        <x:f>IF($A157="","",ABS((W157+1)/W157-'02_Constants'!$D$11)/'02_Constants'!$D$11)</x:f>
        <x:v>0.0003462414925314495</x:v>
      </x:c>
      <x:c r="I157" s="369" t="n">
        <x:f>IF($A157="","",ABS((U157+2*V157)/(W157+1)-'02_Constants'!$D$12)/'02_Constants'!$D$12)</x:f>
        <x:v>0.00005814349405315702</x:v>
      </x:c>
      <x:c r="J157" s="369" t="n">
        <x:f>IF($A157="","",ABS(X157/U157-'02_Constants'!$D$13)/'02_Constants'!$D$13)</x:f>
        <x:v>0.00042854982922369103</x:v>
      </x:c>
      <x:c r="K157" s="369" t="n">
        <x:f>IF($A157="","",ABS(W157/(W157+U157)-'02_Constants'!$D$14)/'02_Constants'!$D$14)</x:f>
        <x:v>0.00023930423999985161</x:v>
      </x:c>
      <x:c r="L157" s="369" t="n">
        <x:f>IF($A157="","",ABS(W157/U157-'02_Constants'!$D$15)/'02_Constants'!$D$15)</x:f>
        <x:v>0.0006267493128061894</x:v>
      </x:c>
      <x:c r="M157" s="369" t="n">
        <x:f>IF($A157="","",ABS(2*A157/(90-A157)-'02_Constants'!$D$16)/'02_Constants'!$D$16)</x:f>
        <x:v>0.00022663092535188907</x:v>
      </x:c>
      <x:c r="N157" s="369" t="n">
        <x:f>IF($A157="","",ABS(2*A157/(90-A157)-1-'02_Constants'!$D$17)/'02_Constants'!$D$17)</x:f>
        <x:v>0.00035852484496292963</x:v>
      </x:c>
      <x:c r="O157" s="369" t="n">
        <x:f>IF(A157="","",AVERAGE(C157:N157))</x:f>
        <x:v>0.0002462191421859601</x:v>
      </x:c>
      <x:c r="P157" s="369" t="n">
        <x:f>IF(A157="","",SUMPRODUCT(C157:N157,'03_12_Errors'!$P$4:$AA$4)/SUM('03_12_Errors'!$P$4:$AA$4))</x:f>
        <x:v>0.00024056941137255217</x:v>
      </x:c>
      <x:c r="Q157" s="369" t="n">
        <x:f>IF(A157="","",SQRT(SUMSQ(C157:N157)/12))</x:f>
        <x:v>0.00030311034072849646</x:v>
      </x:c>
      <x:c r="R157" s="369" t="n">
        <x:f>IF(A157="","",MAX(C157:N157))</x:f>
        <x:v>0.0006267493128061894</x:v>
      </x:c>
      <x:c r="S157" s="390" t="n">
        <x:f>IF(A157="","",COUNTIF(C157:N157,"&lt;="&amp;'00_Start'!$B$7))</x:f>
        <x:v>12</x:v>
      </x:c>
      <x:c r="T157" s="365" t="n">
        <x:f>IF(A157="","",0.5*TAN(RADIANS(A157)))</x:f>
        <x:v>0.6366546786050579</x:v>
      </x:c>
      <x:c r="U157" s="365" t="n">
        <x:f>IF(A157="","",0.5)</x:f>
        <x:v>0.5</x:v>
      </x:c>
      <x:c r="V157" s="365" t="n">
        <x:f>IF(A157="","",SQRT(2))</x:f>
        <x:v>1.4142135623730951</x:v>
      </x:c>
      <x:c r="W157" s="365" t="n">
        <x:f>IF(A157="","",SQRT(T157^2+U157^2))</x:f>
        <x:v>0.8095240452202205</x:v>
      </x:c>
      <x:c r="X157" s="365" t="n">
        <x:f>IF(A157="","",SQRT(T157^2+2*U157^2))</x:f>
        <x:v>0.9514878768485227</x:v>
      </x:c>
      <x:c r="Y157" s="127"/>
      <x:c r="Z157" s="127"/>
      <x:c r="AA157" s="127"/>
      <x:c r="AB157" s="127"/>
      <x:c r="AC157" s="127"/>
      <x:c r="AD157" s="127"/>
      <x:c r="AE157" s="127"/>
      <x:c r="AF157" s="127"/>
      <x:c r="AG157" s="127"/>
      <x:c r="AH157" s="127"/>
      <x:c r="AI157" s="127"/>
      <x:c r="AJ157" s="127"/>
      <x:c r="AK157" s="127"/>
      <x:c r="AL157" s="127"/>
    </x:row>
    <x:row r="158">
      <x:c r="A158" s="367" t="n">
        <x:f>IF(A157="","",IF(A157+'00_Start'!$B$12&lt;='00_Start'!$B$11,A157+'00_Start'!$B$12,""))</x:f>
        <x:v>51.856000000000364</x:v>
      </x:c>
      <x:c r="B158" s="367" t="n">
        <x:f>IF(A158="","",2/TAN(RADIANS(A158)))</x:f>
        <x:v>1.5706819858414158</x:v>
      </x:c>
      <x:c r="C158" s="369" t="n">
        <x:f>IF($A158="","",ABS(2/T158-'02_Constants'!$D$6)/'02_Constants'!$D$6)</x:f>
        <x:v>0.00007279171177719414</x:v>
      </x:c>
      <x:c r="D158" s="369" t="n">
        <x:f>IF($A158="","",ABS(2/(T158+2*V158)-'02_Constants'!$D$7)/'02_Constants'!$D$7)</x:f>
        <x:v>0.000053046748285247675</x:v>
      </x:c>
      <x:c r="E158" s="369" t="n">
        <x:f>IF($A158="","",ABS((T158+2*V158)/2-'02_Constants'!$D$8)/'02_Constants'!$D$8)</x:f>
        <x:v>0.000286257766840993</x:v>
      </x:c>
      <x:c r="F158" s="369" t="n">
        <x:f>IF($A158="","",ABS((T158+2*V158)/V158-'02_Constants'!$D$9)/'02_Constants'!$D$9)</x:f>
        <x:v>0.0002862577668410423</x:v>
      </x:c>
      <x:c r="G158" s="369" t="n">
        <x:f>IF($A158="","",ABS(V158-'02_Constants'!$D$10)/'02_Constants'!$D$10)</x:f>
        <x:v>0</x:v>
      </x:c>
      <x:c r="H158" s="369" t="n">
        <x:f>IF($A158="","",ABS((W158+1)/W158-'02_Constants'!$D$11)/'02_Constants'!$D$11)</x:f>
        <x:v>0.00035238007416268094</x:v>
      </x:c>
      <x:c r="I158" s="369" t="n">
        <x:f>IF($A158="","",ABS((U158+2*V158)/(W158+1)-'02_Constants'!$D$12)/'02_Constants'!$D$12)</x:f>
        <x:v>0.0000531721238731535</x:v>
      </x:c>
      <x:c r="J158" s="369" t="n">
        <x:f>IF($A158="","",ABS(X158/U158-'02_Constants'!$D$13)/'02_Constants'!$D$13)</x:f>
        <x:v>0.00043659670593832134</x:v>
      </x:c>
      <x:c r="K158" s="369" t="n">
        <x:f>IF($A158="","",ABS(W158/(W158+U158)-'02_Constants'!$D$14)/'02_Constants'!$D$14)</x:f>
        <x:v>0.00024354794392549093</x:v>
      </x:c>
      <x:c r="L158" s="369" t="n">
        <x:f>IF($A158="","",ABS(W158/U158-'02_Constants'!$D$15)/'02_Constants'!$D$15)</x:f>
        <x:v>0.0006378681590601544</x:v>
      </x:c>
      <x:c r="M158" s="369" t="n">
        <x:f>IF($A158="","",ABS(2*A158/(90-A158)-'02_Constants'!$D$16)/'02_Constants'!$D$16)</x:f>
        <x:v>0.0002493866079398777</x:v>
      </x:c>
      <x:c r="N158" s="369" t="n">
        <x:f>IF($A158="","",ABS(2*A158/(90-A158)-1-'02_Constants'!$D$17)/'02_Constants'!$D$17)</x:f>
        <x:v>0.00039452380476603954</x:v>
      </x:c>
      <x:c r="O158" s="369" t="n">
        <x:f>IF(A158="","",AVERAGE(C158:N158))</x:f>
        <x:v>0.00025548578445084956</x:v>
      </x:c>
      <x:c r="P158" s="369" t="n">
        <x:f>IF(A158="","",SUMPRODUCT(C158:N158,'03_12_Errors'!$P$4:$AA$4)/SUM('03_12_Errors'!$P$4:$AA$4))</x:f>
        <x:v>0.00025071698349669397</x:v>
      </x:c>
      <x:c r="Q158" s="369" t="n">
        <x:f>IF(A158="","",SQRT(SUMSQ(C158:N158)/12))</x:f>
        <x:v>0.00031273649532539527</x:v>
      </x:c>
      <x:c r="R158" s="369" t="n">
        <x:f>IF(A158="","",MAX(C158:N158))</x:f>
        <x:v>0.0006378681590601544</x:v>
      </x:c>
      <x:c r="S158" s="390" t="n">
        <x:f>IF(A158="","",COUNTIF(C158:N158,"&lt;="&amp;'00_Start'!$B$7))</x:f>
        <x:v>12</x:v>
      </x:c>
      <x:c r="T158" s="365" t="n">
        <x:f>IF(A158="","",0.5*TAN(RADIANS(A158)))</x:f>
        <x:v>0.6366661163840235</x:v>
      </x:c>
      <x:c r="U158" s="365" t="n">
        <x:f>IF(A158="","",0.5)</x:f>
        <x:v>0.5</x:v>
      </x:c>
      <x:c r="V158" s="365" t="n">
        <x:f>IF(A158="","",SQRT(2))</x:f>
        <x:v>1.4142135623730951</x:v>
      </x:c>
      <x:c r="W158" s="365" t="n">
        <x:f>IF(A158="","",SQRT(T158^2+U158^2))</x:f>
        <x:v>0.8095330405557978</x:v>
      </x:c>
      <x:c r="X158" s="365" t="n">
        <x:f>IF(A158="","",SQRT(T158^2+2*U158^2))</x:f>
        <x:v>0.9514955300743745</x:v>
      </x:c>
      <x:c r="Y158" s="127"/>
      <x:c r="Z158" s="127"/>
      <x:c r="AA158" s="127"/>
      <x:c r="AB158" s="127"/>
      <x:c r="AC158" s="127"/>
      <x:c r="AD158" s="127"/>
      <x:c r="AE158" s="127"/>
      <x:c r="AF158" s="127"/>
      <x:c r="AG158" s="127"/>
      <x:c r="AH158" s="127"/>
      <x:c r="AI158" s="127"/>
      <x:c r="AJ158" s="127"/>
      <x:c r="AK158" s="127"/>
      <x:c r="AL158" s="127"/>
    </x:row>
    <x:row r="159">
      <x:c r="A159" s="367" t="n">
        <x:f>IF(A158="","",IF(A158+'00_Start'!$B$12&lt;='00_Start'!$B$11,A158+'00_Start'!$B$12,""))</x:f>
        <x:v>51.856500000000366</x:v>
      </x:c>
      <x:c r="B159" s="367" t="n">
        <x:f>IF(A159="","",2/TAN(RADIANS(A159)))</x:f>
        <x:v>1.5706537682412935</x:v>
      </x:c>
      <x:c r="C159" s="369" t="n">
        <x:f>IF($A159="","",ABS(2/T159-'02_Constants'!$D$6)/'02_Constants'!$D$6)</x:f>
        <x:v>0.0000907555939438009</x:v>
      </x:c>
      <x:c r="D159" s="369" t="n">
        <x:f>IF($A159="","",ABS(2/(T159+2*V159)-'02_Constants'!$D$7)/'02_Constants'!$D$7)</x:f>
        <x:v>0.00005634749313077987</x:v>
      </x:c>
      <x:c r="E159" s="369" t="n">
        <x:f>IF($A159="","",ABS((T159+2*V159)/2-'02_Constants'!$D$8)/'02_Constants'!$D$8)</x:f>
        <x:v>0.0002895596426028772</x:v>
      </x:c>
      <x:c r="F159" s="369" t="n">
        <x:f>IF($A159="","",ABS((T159+2*V159)/V159-'02_Constants'!$D$9)/'02_Constants'!$D$9)</x:f>
        <x:v>0.00028955964260281926</x:v>
      </x:c>
      <x:c r="G159" s="369" t="n">
        <x:f>IF($A159="","",ABS(V159-'02_Constants'!$D$10)/'02_Constants'!$D$10)</x:f>
        <x:v>0</x:v>
      </x:c>
      <x:c r="H159" s="369" t="n">
        <x:f>IF($A159="","",ABS((W159+1)/W159-'02_Constants'!$D$11)/'02_Constants'!$D$11)</x:f>
        <x:v>0.00035851869786412776</x:v>
      </x:c>
      <x:c r="I159" s="369" t="n">
        <x:f>IF($A159="","",ABS((U159+2*V159)/(W159+1)-'02_Constants'!$D$12)/'02_Constants'!$D$12)</x:f>
        <x:v>0.000048200658565431924</x:v>
      </x:c>
      <x:c r="J159" s="369" t="n">
        <x:f>IF($A159="","",ABS(X159/U159-'02_Constants'!$D$13)/'02_Constants'!$D$13)</x:f>
        <x:v>0.0004446438413291872</x:v>
      </x:c>
      <x:c r="K159" s="369" t="n">
        <x:f>IF($A159="","",ABS(W159/(W159+U159)-'02_Constants'!$D$14)/'02_Constants'!$D$14)</x:f>
        <x:v>0.00024779171294506407</x:v>
      </x:c>
      <x:c r="L159" s="369" t="n">
        <x:f>IF($A159="","",ABS(W159/U159-'02_Constants'!$D$15)/'02_Constants'!$D$15)</x:f>
        <x:v>0.000648987328624034</x:v>
      </x:c>
      <x:c r="M159" s="369" t="n">
        <x:f>IF($A159="","",ABS(2*A159/(90-A159)-'02_Constants'!$D$16)/'02_Constants'!$D$16)</x:f>
        <x:v>0.0002721428871088468</x:v>
      </x:c>
      <x:c r="N159" s="369" t="n">
        <x:f>IF($A159="","",ABS(2*A159/(90-A159)-1-'02_Constants'!$D$17)/'02_Constants'!$D$17)</x:f>
        <x:v>0.00043052370834636435</x:v>
      </x:c>
      <x:c r="O159" s="369" t="n">
        <x:f>IF(A159="","",AVERAGE(C159:N159))</x:f>
        <x:v>0.00026475260058861117</x:v>
      </x:c>
      <x:c r="P159" s="369" t="n">
        <x:f>IF(A159="","",SUMPRODUCT(C159:N159,'03_12_Errors'!$P$4:$AA$4)/SUM('03_12_Errors'!$P$4:$AA$4))</x:f>
        <x:v>0.0002608647051370989</x:v>
      </x:c>
      <x:c r="Q159" s="369" t="n">
        <x:f>IF(A159="","",SQRT(SUMSQ(C159:N159)/12))</x:f>
        <x:v>0.0003227054897103231</x:v>
      </x:c>
      <x:c r="R159" s="369" t="n">
        <x:f>IF(A159="","",MAX(C159:N159))</x:f>
        <x:v>0.000648987328624034</x:v>
      </x:c>
      <x:c r="S159" s="390" t="n">
        <x:f>IF(A159="","",COUNTIF(C159:N159,"&lt;="&amp;'00_Start'!$B$7))</x:f>
        <x:v>12</x:v>
      </x:c>
      <x:c r="T159" s="365" t="n">
        <x:f>IF(A159="","",0.5*TAN(RADIANS(A159)))</x:f>
        <x:v>0.6366775544171832</x:v>
      </x:c>
      <x:c r="U159" s="365" t="n">
        <x:f>IF(A159="","",0.5)</x:f>
        <x:v>0.5</x:v>
      </x:c>
      <x:c r="V159" s="365" t="n">
        <x:f>IF(A159="","",SQRT(2))</x:f>
        <x:v>1.4142135623730951</x:v>
      </x:c>
      <x:c r="W159" s="365" t="n">
        <x:f>IF(A159="","",SQRT(T159^2+U159^2))</x:f>
        <x:v>0.8095420361529383</x:v>
      </x:c>
      <x:c r="X159" s="365" t="n">
        <x:f>IF(A159="","",SQRT(T159^2+2*U159^2))</x:f>
        <x:v>0.9515031835462482</x:v>
      </x:c>
      <x:c r="Y159" s="127"/>
      <x:c r="Z159" s="127"/>
      <x:c r="AA159" s="127"/>
      <x:c r="AB159" s="127"/>
      <x:c r="AC159" s="127"/>
      <x:c r="AD159" s="127"/>
      <x:c r="AE159" s="127"/>
      <x:c r="AF159" s="127"/>
      <x:c r="AG159" s="127"/>
      <x:c r="AH159" s="127"/>
      <x:c r="AI159" s="127"/>
      <x:c r="AJ159" s="127"/>
      <x:c r="AK159" s="127"/>
      <x:c r="AL159" s="127"/>
    </x:row>
    <x:row r="160">
      <x:c r="A160" s="367" t="n">
        <x:f>IF(A159="","",IF(A159+'00_Start'!$B$12&lt;='00_Start'!$B$11,A159+'00_Start'!$B$12,""))</x:f>
        <x:v>51.85700000000037</x:v>
      </x:c>
      <x:c r="B160" s="367" t="n">
        <x:f>IF(A160="","",2/TAN(RADIANS(A160)))</x:f>
        <x:v>1.5706255510279346</x:v>
      </x:c>
      <x:c r="C160" s="369" t="n">
        <x:f>IF($A160="","",ABS(2/T160-'02_Constants'!$D$6)/'02_Constants'!$D$6)</x:f>
        <x:v>0.00010871922988925126</x:v>
      </x:c>
      <x:c r="D160" s="369" t="n">
        <x:f>IF($A160="","",ABS(2/(T160+2*V160)-'02_Constants'!$D$7)/'02_Constants'!$D$7)</x:f>
        <x:v>0.00005964828954200231</x:v>
      </x:c>
      <x:c r="E160" s="369" t="n">
        <x:f>IF($A160="","",ABS((T160+2*V160)/2-'02_Constants'!$D$8)/'02_Constants'!$D$8)</x:f>
        <x:v>0.00029286159174706877</x:v>
      </x:c>
      <x:c r="F160" s="369" t="n">
        <x:f>IF($A160="","",ABS((T160+2*V160)/V160-'02_Constants'!$D$9)/'02_Constants'!$D$9)</x:f>
        <x:v>0.00029286159174704215</x:v>
      </x:c>
      <x:c r="G160" s="369" t="n">
        <x:f>IF($A160="","",ABS(V160-'02_Constants'!$D$10)/'02_Constants'!$D$10)</x:f>
        <x:v>0</x:v>
      </x:c>
      <x:c r="H160" s="369" t="n">
        <x:f>IF($A160="","",ABS((W160+1)/W160-'02_Constants'!$D$11)/'02_Constants'!$D$11)</x:f>
        <x:v>0.00036465736363539274</x:v>
      </x:c>
      <x:c r="I160" s="369" t="n">
        <x:f>IF($A160="","",ABS((U160+2*V160)/(W160+1)-'02_Constants'!$D$12)/'02_Constants'!$D$12)</x:f>
        <x:v>0.00004322909812830216</x:v>
      </x:c>
      <x:c r="J160" s="369" t="n">
        <x:f>IF($A160="","",ABS(X160/U160-'02_Constants'!$D$13)/'02_Constants'!$D$13)</x:f>
        <x:v>0.0004526912354067946</x:v>
      </x:c>
      <x:c r="K160" s="369" t="n">
        <x:f>IF($A160="","",ABS(W160/(W160+U160)-'02_Constants'!$D$14)/'02_Constants'!$D$14)</x:f>
        <x:v>0.00025203554705928953</x:v>
      </x:c>
      <x:c r="L160" s="369" t="n">
        <x:f>IF($A160="","",ABS(W160/U160-'02_Constants'!$D$15)/'02_Constants'!$D$15)</x:f>
        <x:v>0.0006601068215101793</x:v>
      </x:c>
      <x:c r="M160" s="369" t="n">
        <x:f>IF($A160="","",ABS(2*A160/(90-A160)-'02_Constants'!$D$16)/'02_Constants'!$D$16)</x:f>
        <x:v>0.00029489976288215854</x:v>
      </x:c>
      <x:c r="N160" s="369" t="n">
        <x:f>IF($A160="","",ABS(2*A160/(90-A160)-1-'02_Constants'!$D$17)/'02_Constants'!$D$17)</x:f>
        <x:v>0.0004665245557408624</x:v>
      </x:c>
      <x:c r="O160" s="369" t="n">
        <x:f>IF(A160="","",AVERAGE(C160:N160))</x:f>
        <x:v>0.00027401959060736203</x:v>
      </x:c>
      <x:c r="P160" s="369" t="n">
        <x:f>IF(A160="","",SUMPRODUCT(C160:N160,'03_12_Errors'!$P$4:$AA$4)/SUM('03_12_Errors'!$P$4:$AA$4))</x:f>
        <x:v>0.0002710125763026973</x:v>
      </x:c>
      <x:c r="Q160" s="369" t="n">
        <x:f>IF(A160="","",SQRT(SUMSQ(C160:N160)/12))</x:f>
        <x:v>0.00033298657125948504</x:v>
      </x:c>
      <x:c r="R160" s="369" t="n">
        <x:f>IF(A160="","",MAX(C160:N160))</x:f>
        <x:v>0.0006601068215101793</x:v>
      </x:c>
      <x:c r="S160" s="390" t="n">
        <x:f>IF(A160="","",COUNTIF(C160:N160,"&lt;="&amp;'00_Start'!$B$7))</x:f>
        <x:v>12</x:v>
      </x:c>
      <x:c r="T160" s="365" t="n">
        <x:f>IF(A160="","",0.5*TAN(RADIANS(A160)))</x:f>
        <x:v>0.6366889927045472</x:v>
      </x:c>
      <x:c r="U160" s="365" t="n">
        <x:f>IF(A160="","",0.5)</x:f>
        <x:v>0.5</x:v>
      </x:c>
      <x:c r="V160" s="365" t="n">
        <x:f>IF(A160="","",SQRT(2))</x:f>
        <x:v>1.4142135623730951</x:v>
      </x:c>
      <x:c r="W160" s="365" t="n">
        <x:f>IF(A160="","",SQRT(T160^2+U160^2))</x:f>
        <x:v>0.809551032011652</x:v>
      </x:c>
      <x:c r="X160" s="365" t="n">
        <x:f>IF(A160="","",SQRT(T160^2+2*U160^2))</x:f>
        <x:v>0.9515108372641538</x:v>
      </x:c>
      <x:c r="Y160" s="127"/>
      <x:c r="Z160" s="127"/>
      <x:c r="AA160" s="127"/>
      <x:c r="AB160" s="127"/>
      <x:c r="AC160" s="127"/>
      <x:c r="AD160" s="127"/>
      <x:c r="AE160" s="127"/>
      <x:c r="AF160" s="127"/>
      <x:c r="AG160" s="127"/>
      <x:c r="AH160" s="127"/>
      <x:c r="AI160" s="127"/>
      <x:c r="AJ160" s="127"/>
      <x:c r="AK160" s="127"/>
      <x:c r="AL160" s="127"/>
    </x:row>
    <x:row r="161">
      <x:c r="A161" s="367" t="n">
        <x:f>IF(A160="","",IF(A160+'00_Start'!$B$12&lt;='00_Start'!$B$11,A160+'00_Start'!$B$12,""))</x:f>
        <x:v>51.85750000000037</x:v>
      </x:c>
      <x:c r="B161" s="367" t="n">
        <x:f>IF(A161="","",2/TAN(RADIANS(A161)))</x:f>
        <x:v>1.570597334201326</x:v>
      </x:c>
      <x:c r="C161" s="369" t="n">
        <x:f>IF($A161="","",ABS(2/T161-'02_Constants'!$D$6)/'02_Constants'!$D$6)</x:f>
        <x:v>0.00012668261962174397</x:v>
      </x:c>
      <x:c r="D161" s="369" t="n">
        <x:f>IF($A161="","",ABS(2/(T161+2*V161)-'02_Constants'!$D$7)/'02_Constants'!$D$7)</x:f>
        <x:v>0.0000629491375208384</x:v>
      </x:c>
      <x:c r="E161" s="369" t="n">
        <x:f>IF($A161="","",ABS((T161+2*V161)/2-'02_Constants'!$D$8)/'02_Constants'!$D$8)</x:f>
        <x:v>0.0002961636142769007</x:v>
      </x:c>
      <x:c r="F161" s="369" t="n">
        <x:f>IF($A161="","",ABS((T161+2*V161)/V161-'02_Constants'!$D$9)/'02_Constants'!$D$9)</x:f>
        <x:v>0.000296163614276793</x:v>
      </x:c>
      <x:c r="G161" s="369" t="n">
        <x:f>IF($A161="","",ABS(V161-'02_Constants'!$D$10)/'02_Constants'!$D$10)</x:f>
        <x:v>0</x:v>
      </x:c>
      <x:c r="H161" s="369" t="n">
        <x:f>IF($A161="","",ABS((W161+1)/W161-'02_Constants'!$D$11)/'02_Constants'!$D$11)</x:f>
        <x:v>0.0003707960714760787</x:v>
      </x:c>
      <x:c r="I161" s="369" t="n">
        <x:f>IF($A161="","",ABS((U161+2*V161)/(W161+1)-'02_Constants'!$D$12)/'02_Constants'!$D$12)</x:f>
        <x:v>0.00003825744255898758</x:v>
      </x:c>
      <x:c r="J161" s="369" t="n">
        <x:f>IF($A161="","",ABS(X161/U161-'02_Constants'!$D$13)/'02_Constants'!$D$13)</x:f>
        <x:v>0.00046073888818199966</x:v>
      </x:c>
      <x:c r="K161" s="369" t="n">
        <x:f>IF($A161="","",ABS(W161/(W161+U161)-'02_Constants'!$D$14)/'02_Constants'!$D$14)</x:f>
        <x:v>0.00025627944626906564</x:v>
      </x:c>
      <x:c r="L161" s="369" t="n">
        <x:f>IF($A161="","",ABS(W161/U161-'02_Constants'!$D$15)/'02_Constants'!$D$15)</x:f>
        <x:v>0.0006712266377316272</x:v>
      </x:c>
      <x:c r="M161" s="369" t="n">
        <x:f>IF($A161="","",ABS(2*A161/(90-A161)-'02_Constants'!$D$16)/'02_Constants'!$D$16)</x:f>
        <x:v>0.000317657235283175</x:v>
      </x:c>
      <x:c r="N161" s="369" t="n">
        <x:f>IF($A161="","",ABS(2*A161/(90-A161)-1-'02_Constants'!$D$17)/'02_Constants'!$D$17)</x:f>
        <x:v>0.0005025263469864919</x:v>
      </x:c>
      <x:c r="O161" s="369" t="n">
        <x:f>IF(A161="","",AVERAGE(C161:N161))</x:f>
        <x:v>0.0002832867545153085</x:v>
      </x:c>
      <x:c r="P161" s="369" t="n">
        <x:f>IF(A161="","",SUMPRODUCT(C161:N161,'03_12_Errors'!$P$4:$AA$4)/SUM('03_12_Errors'!$P$4:$AA$4))</x:f>
        <x:v>0.0002811605970024443</x:v>
      </x:c>
      <x:c r="Q161" s="369" t="n">
        <x:f>IF(A161="","",SQRT(SUMSQ(C161:N161)/12))</x:f>
        <x:v>0.000343551759420633</x:v>
      </x:c>
      <x:c r="R161" s="369" t="n">
        <x:f>IF(A161="","",MAX(C161:N161))</x:f>
        <x:v>0.0006712266377316272</x:v>
      </x:c>
      <x:c r="S161" s="390" t="n">
        <x:f>IF(A161="","",COUNTIF(C161:N161,"&lt;="&amp;'00_Start'!$B$7))</x:f>
        <x:v>12</x:v>
      </x:c>
      <x:c r="T161" s="365" t="n">
        <x:f>IF(A161="","",0.5*TAN(RADIANS(A161)))</x:f>
        <x:v>0.636700431246126</x:v>
      </x:c>
      <x:c r="U161" s="365" t="n">
        <x:f>IF(A161="","",0.5)</x:f>
        <x:v>0.5</x:v>
      </x:c>
      <x:c r="V161" s="365" t="n">
        <x:f>IF(A161="","",SQRT(2))</x:f>
        <x:v>1.4142135623730951</x:v>
      </x:c>
      <x:c r="W161" s="365" t="n">
        <x:f>IF(A161="","",SQRT(T161^2+U161^2))</x:f>
        <x:v>0.8095600281319495</x:v>
      </x:c>
      <x:c r="X161" s="365" t="n">
        <x:f>IF(A161="","",SQRT(T161^2+2*U161^2))</x:f>
        <x:v>0.9515184912281015</x:v>
      </x:c>
      <x:c r="Y161" s="127"/>
      <x:c r="Z161" s="127"/>
      <x:c r="AA161" s="127"/>
      <x:c r="AB161" s="127"/>
      <x:c r="AC161" s="127"/>
      <x:c r="AD161" s="127"/>
      <x:c r="AE161" s="127"/>
      <x:c r="AF161" s="127"/>
      <x:c r="AG161" s="127"/>
      <x:c r="AH161" s="127"/>
      <x:c r="AI161" s="127"/>
      <x:c r="AJ161" s="127"/>
      <x:c r="AK161" s="127"/>
      <x:c r="AL161" s="127"/>
    </x:row>
    <x:row r="162">
      <x:c r="A162" s="367" t="n">
        <x:f>IF(A161="","",IF(A161+'00_Start'!$B$12&lt;='00_Start'!$B$11,A161+'00_Start'!$B$12,""))</x:f>
        <x:v>51.858000000000374</x:v>
      </x:c>
      <x:c r="B162" s="367" t="n">
        <x:f>IF(A162="","",2/TAN(RADIANS(A162)))</x:f>
        <x:v>1.5705691177614562</x:v>
      </x:c>
      <x:c r="C162" s="369" t="n">
        <x:f>IF($A162="","",ABS(2/T162-'02_Constants'!$D$6)/'02_Constants'!$D$6)</x:f>
        <x:v>0.00014464576314862965</x:v>
      </x:c>
      <x:c r="D162" s="369" t="n">
        <x:f>IF($A162="","",ABS(2/(T162+2*V162)-'02_Constants'!$D$7)/'02_Constants'!$D$7)</x:f>
        <x:v>0.00006625003706863452</x:v>
      </x:c>
      <x:c r="E162" s="369" t="n">
        <x:f>IF($A162="","",ABS((T162+2*V162)/2-'02_Constants'!$D$8)/'02_Constants'!$D$8)</x:f>
        <x:v>0.0002994657101951934</x:v>
      </x:c>
      <x:c r="F162" s="369" t="n">
        <x:f>IF($A162="","",ABS((T162+2*V162)/V162-'02_Constants'!$D$9)/'02_Constants'!$D$9)</x:f>
        <x:v>0.000299465710195154</x:v>
      </x:c>
      <x:c r="G162" s="369" t="n">
        <x:f>IF($A162="","",ABS(V162-'02_Constants'!$D$10)/'02_Constants'!$D$10)</x:f>
        <x:v>0</x:v>
      </x:c>
      <x:c r="H162" s="369" t="n">
        <x:f>IF($A162="","",ABS((W162+1)/W162-'02_Constants'!$D$11)/'02_Constants'!$D$11)</x:f>
        <x:v>0.00037693482138539123</x:v>
      </x:c>
      <x:c r="I162" s="369" t="n">
        <x:f>IF($A162="","",ABS((U162+2*V162)/(W162+1)-'02_Constants'!$D$12)/'02_Constants'!$D$12)</x:f>
        <x:v>0.000033285691856280955</x:v>
      </x:c>
      <x:c r="J162" s="369" t="n">
        <x:f>IF($A162="","",ABS(X162/U162-'02_Constants'!$D$13)/'02_Constants'!$D$13)</x:f>
        <x:v>0.00046878679966530837</x:v>
      </x:c>
      <x:c r="K162" s="369" t="n">
        <x:f>IF($A162="","",ABS(W162/(W162+U162)-'02_Constants'!$D$14)/'02_Constants'!$D$14)</x:f>
        <x:v>0.0002605234105752904</x:v>
      </x:c>
      <x:c r="L162" s="369" t="n">
        <x:f>IF($A162="","",ABS(W162/U162-'02_Constants'!$D$15)/'02_Constants'!$D$15)</x:f>
        <x:v>0.0006823467773001794</x:v>
      </x:c>
      <x:c r="M162" s="369" t="n">
        <x:f>IF($A162="","",ABS(2*A162/(90-A162)-'02_Constants'!$D$16)/'02_Constants'!$D$16)</x:f>
        <x:v>0.0003404153043354216</x:v>
      </x:c>
      <x:c r="N162" s="369" t="n">
        <x:f>IF($A162="","",ABS(2*A162/(90-A162)-1-'02_Constants'!$D$17)/'02_Constants'!$D$17)</x:f>
        <x:v>0.0005385290821204698</x:v>
      </x:c>
      <x:c r="O162" s="369" t="n">
        <x:f>IF(A162="","",AVERAGE(C162:N162))</x:f>
        <x:v>0.0002925540923204961</x:v>
      </x:c>
      <x:c r="P162" s="369" t="n">
        <x:f>IF(A162="","",SUMPRODUCT(C162:N162,'03_12_Errors'!$P$4:$AA$4)/SUM('03_12_Errors'!$P$4:$AA$4))</x:f>
        <x:v>0.000291308767245241</x:v>
      </x:c>
      <x:c r="Q162" s="369" t="n">
        <x:f>IF(A162="","",SQRT(SUMSQ(C162:N162)/12))</x:f>
        <x:v>0.00035437568006219165</x:v>
      </x:c>
      <x:c r="R162" s="369" t="n">
        <x:f>IF(A162="","",MAX(C162:N162))</x:f>
        <x:v>0.0006823467773001794</x:v>
      </x:c>
      <x:c r="S162" s="390" t="n">
        <x:f>IF(A162="","",COUNTIF(C162:N162,"&lt;="&amp;'00_Start'!$B$7))</x:f>
        <x:v>12</x:v>
      </x:c>
      <x:c r="T162" s="365" t="n">
        <x:f>IF(A162="","",0.5*TAN(RADIANS(A162)))</x:f>
        <x:v>0.6367118700419294</x:v>
      </x:c>
      <x:c r="U162" s="365" t="n">
        <x:f>IF(A162="","",0.5)</x:f>
        <x:v>0.5</x:v>
      </x:c>
      <x:c r="V162" s="365" t="n">
        <x:f>IF(A162="","",SQRT(2))</x:f>
        <x:v>1.4142135623730951</x:v>
      </x:c>
      <x:c r="W162" s="365" t="n">
        <x:f>IF(A162="","",SQRT(T162^2+U162^2))</x:f>
        <x:v>0.8095690245138403</x:v>
      </x:c>
      <x:c r="X162" s="365" t="n">
        <x:f>IF(A162="","",SQRT(T162^2+2*U162^2))</x:f>
        <x:v>0.9515261454381014</x:v>
      </x:c>
      <x:c r="Y162" s="127"/>
      <x:c r="Z162" s="127"/>
      <x:c r="AA162" s="127"/>
      <x:c r="AB162" s="127"/>
      <x:c r="AC162" s="127"/>
      <x:c r="AD162" s="127"/>
      <x:c r="AE162" s="127"/>
      <x:c r="AF162" s="127"/>
      <x:c r="AG162" s="127"/>
      <x:c r="AH162" s="127"/>
      <x:c r="AI162" s="127"/>
      <x:c r="AJ162" s="127"/>
      <x:c r="AK162" s="127"/>
      <x:c r="AL162" s="127"/>
    </x:row>
    <x:row r="163">
      <x:c r="A163" s="367" t="n">
        <x:f>IF(A162="","",IF(A162+'00_Start'!$B$12&lt;='00_Start'!$B$11,A162+'00_Start'!$B$12,""))</x:f>
        <x:v>51.858500000000376</x:v>
      </x:c>
      <x:c r="B163" s="367" t="n">
        <x:f>IF(A163="","",2/TAN(RADIANS(A163)))</x:f>
        <x:v>1.5705409017083123</x:v>
      </x:c>
      <x:c r="C163" s="369" t="n">
        <x:f>IF($A163="","",ABS(2/T163-'02_Constants'!$D$6)/'02_Constants'!$D$6)</x:f>
        <x:v>0.00016260866047824844</x:v>
      </x:c>
      <x:c r="D163" s="369" t="n">
        <x:f>IF($A163="","",ABS(2/(T163+2*V163)-'02_Constants'!$D$7)/'02_Constants'!$D$7)</x:f>
        <x:v>0.0000695509881873141</x:v>
      </x:c>
      <x:c r="E163" s="369" t="n">
        <x:f>IF($A163="","",ABS((T163+2*V163)/2-'02_Constants'!$D$8)/'02_Constants'!$D$8)</x:f>
        <x:v>0.000302767879504639</x:v>
      </x:c>
      <x:c r="F163" s="369" t="n">
        <x:f>IF($A163="","",ABS((T163+2*V163)/V163-'02_Constants'!$D$9)/'02_Constants'!$D$9)</x:f>
        <x:v>0.0003027678795046632</x:v>
      </x:c>
      <x:c r="G163" s="369" t="n">
        <x:f>IF($A163="","",ABS(V163-'02_Constants'!$D$10)/'02_Constants'!$D$10)</x:f>
        <x:v>0</x:v>
      </x:c>
      <x:c r="H163" s="369" t="n">
        <x:f>IF($A163="","",ABS((W163+1)/W163-'02_Constants'!$D$11)/'02_Constants'!$D$11)</x:f>
        <x:v>0.0003830736133631317</x:v>
      </x:c>
      <x:c r="I163" s="369" t="n">
        <x:f>IF($A163="","",ABS((U163+2*V163)/(W163+1)-'02_Constants'!$D$12)/'02_Constants'!$D$12)</x:f>
        <x:v>0.000028313846017767813</x:v>
      </x:c>
      <x:c r="J163" s="369" t="n">
        <x:f>IF($A163="","",ABS(X163/U163-'02_Constants'!$D$13)/'02_Constants'!$D$13)</x:f>
        <x:v>0.00047683496986710995</x:v>
      </x:c>
      <x:c r="K163" s="369" t="n">
        <x:f>IF($A163="","",ABS(W163/(W163+U163)-'02_Constants'!$D$14)/'02_Constants'!$D$14)</x:f>
        <x:v>0.00026476743997868256</x:v>
      </x:c>
      <x:c r="L163" s="369" t="n">
        <x:f>IF($A163="","",ABS(W163/U163-'02_Constants'!$D$15)/'02_Constants'!$D$15)</x:f>
        <x:v>0.0006934672402285988</x:v>
      </x:c>
      <x:c r="M163" s="369" t="n">
        <x:f>IF($A163="","",ABS(2*A163/(90-A163)-'02_Constants'!$D$16)/'02_Constants'!$D$16)</x:f>
        <x:v>0.00036317397006242384</x:v>
      </x:c>
      <x:c r="N163" s="369" t="n">
        <x:f>IF($A163="","",ABS(2*A163/(90-A163)-1-'02_Constants'!$D$17)/'02_Constants'!$D$17)</x:f>
        <x:v>0.0005745327611800126</x:v>
      </x:c>
      <x:c r="O163" s="369" t="n">
        <x:f>IF(A163="","",AVERAGE(C163:N163))</x:f>
        <x:v>0.0003018216040310494</x:v>
      </x:c>
      <x:c r="P163" s="369" t="n">
        <x:f>IF(A163="","",SUMPRODUCT(C163:N163,'03_12_Errors'!$P$4:$AA$4)/SUM('03_12_Errors'!$P$4:$AA$4))</x:f>
        <x:v>0.0003014570870400035</x:v>
      </x:c>
      <x:c r="Q163" s="369" t="n">
        <x:f>IF(A163="","",SQRT(SUMSQ(C163:N163)/12))</x:f>
        <x:v>0.0003654353780655099</x:v>
      </x:c>
      <x:c r="R163" s="369" t="n">
        <x:f>IF(A163="","",MAX(C163:N163))</x:f>
        <x:v>0.0006934672402285988</x:v>
      </x:c>
      <x:c r="S163" s="390" t="n">
        <x:f>IF(A163="","",COUNTIF(C163:N163,"&lt;="&amp;'00_Start'!$B$7))</x:f>
        <x:v>12</x:v>
      </x:c>
      <x:c r="T163" s="365" t="n">
        <x:f>IF(A163="","",0.5*TAN(RADIANS(A163)))</x:f>
        <x:v>0.6367233090919681</x:v>
      </x:c>
      <x:c r="U163" s="365" t="n">
        <x:f>IF(A163="","",0.5)</x:f>
        <x:v>0.5</x:v>
      </x:c>
      <x:c r="V163" s="365" t="n">
        <x:f>IF(A163="","",SQRT(2))</x:f>
        <x:v>1.4142135623730951</x:v>
      </x:c>
      <x:c r="W163" s="365" t="n">
        <x:f>IF(A163="","",SQRT(T163^2+U163^2))</x:f>
        <x:v>0.8095780211573347</x:v>
      </x:c>
      <x:c r="X163" s="365" t="n">
        <x:f>IF(A163="","",SQRT(T163^2+2*U163^2))</x:f>
        <x:v>0.9515337998941634</x:v>
      </x:c>
      <x:c r="Y163" s="127"/>
      <x:c r="Z163" s="127"/>
      <x:c r="AA163" s="127"/>
      <x:c r="AB163" s="127"/>
      <x:c r="AC163" s="127"/>
      <x:c r="AD163" s="127"/>
      <x:c r="AE163" s="127"/>
      <x:c r="AF163" s="127"/>
      <x:c r="AG163" s="127"/>
      <x:c r="AH163" s="127"/>
      <x:c r="AI163" s="127"/>
      <x:c r="AJ163" s="127"/>
      <x:c r="AK163" s="127"/>
      <x:c r="AL163" s="127"/>
    </x:row>
    <x:row r="164">
      <x:c r="A164" s="367" t="n">
        <x:f>IF(A163="","",IF(A163+'00_Start'!$B$12&lt;='00_Start'!$B$11,A163+'00_Start'!$B$12,""))</x:f>
        <x:v>51.85900000000038</x:v>
      </x:c>
      <x:c r="B164" s="367" t="n">
        <x:f>IF(A164="","",2/TAN(RADIANS(A164)))</x:f>
        <x:v>1.5705126860418825</x:v>
      </x:c>
      <x:c r="C164" s="369" t="n">
        <x:f>IF($A164="","",ABS(2/T164-'02_Constants'!$D$6)/'02_Constants'!$D$6)</x:f>
        <x:v>0.0001805713116179509</x:v>
      </x:c>
      <x:c r="D164" s="369" t="n">
        <x:f>IF($A164="","",ABS(2/(T164+2*V164)-'02_Constants'!$D$7)/'02_Constants'!$D$7)</x:f>
        <x:v>0.00007285199087860821</x:v>
      </x:c>
      <x:c r="E164" s="369" t="n">
        <x:f>IF($A164="","",ABS((T164+2*V164)/2-'02_Constants'!$D$8)/'02_Constants'!$D$8)</x:f>
        <x:v>0.00030607012220844245</x:v>
      </x:c>
      <x:c r="F164" s="369" t="n">
        <x:f>IF($A164="","",ABS((T164+2*V164)/V164-'02_Constants'!$D$9)/'02_Constants'!$D$9)</x:f>
        <x:v>0.0003060701222084027</x:v>
      </x:c>
      <x:c r="G164" s="369" t="n">
        <x:f>IF($A164="","",ABS(V164-'02_Constants'!$D$10)/'02_Constants'!$D$10)</x:f>
        <x:v>0</x:v>
      </x:c>
      <x:c r="H164" s="369" t="n">
        <x:f>IF($A164="","",ABS((W164+1)/W164-'02_Constants'!$D$11)/'02_Constants'!$D$11)</x:f>
        <x:v>0.0003892124474089029</x:v>
      </x:c>
      <x:c r="I164" s="369" t="n">
        <x:f>IF($A164="","",ABS((U164+2*V164)/(W164+1)-'02_Constants'!$D$12)/'02_Constants'!$D$12)</x:f>
        <x:v>0.00002334190504151659</x:v>
      </x:c>
      <x:c r="J164" s="369" t="n">
        <x:f>IF($A164="","",ABS(X164/U164-'02_Constants'!$D$13)/'02_Constants'!$D$13)</x:f>
        <x:v>0.00048488339879837727</x:v>
      </x:c>
      <x:c r="K164" s="369" t="n">
        <x:f>IF($A164="","",ABS(W164/(W164+U164)-'02_Constants'!$D$14)/'02_Constants'!$D$14)</x:f>
        <x:v>0.00026901153448049945</x:v>
      </x:c>
      <x:c r="L164" s="369" t="n">
        <x:f>IF($A164="","",ABS(W164/U164-'02_Constants'!$D$15)/'02_Constants'!$D$15)</x:f>
        <x:v>0.0007045880265295102</x:v>
      </x:c>
      <x:c r="M164" s="369" t="n">
        <x:f>IF($A164="","",ABS(2*A164/(90-A164)-'02_Constants'!$D$16)/'02_Constants'!$D$16)</x:f>
        <x:v>0.0003859332324877072</x:v>
      </x:c>
      <x:c r="N164" s="369" t="n">
        <x:f>IF($A164="","",ABS(2*A164/(90-A164)-1-'02_Constants'!$D$17)/'02_Constants'!$D$17)</x:f>
        <x:v>0.0006105373842023371</x:v>
      </x:c>
      <x:c r="O164" s="369" t="n">
        <x:f>IF(A164="","",AVERAGE(C164:N164))</x:f>
        <x:v>0.0003110892896551879</x:v>
      </x:c>
      <x:c r="P164" s="369" t="n">
        <x:f>IF(A164="","",SUMPRODUCT(C164:N164,'03_12_Errors'!$P$4:$AA$4)/SUM('03_12_Errors'!$P$4:$AA$4))</x:f>
        <x:v>0.0003116055563957204</x:v>
      </x:c>
      <x:c r="Q164" s="369" t="n">
        <x:f>IF(A164="","",SQRT(SUMSQ(C164:N164)/12))</x:f>
        <x:v>0.0003767101212039978</x:v>
      </x:c>
      <x:c r="R164" s="369" t="n">
        <x:f>IF(A164="","",MAX(C164:N164))</x:f>
        <x:v>0.0007045880265295102</x:v>
      </x:c>
      <x:c r="S164" s="390" t="n">
        <x:f>IF(A164="","",COUNTIF(C164:N164,"&lt;="&amp;'00_Start'!$B$7))</x:f>
        <x:v>12</x:v>
      </x:c>
      <x:c r="T164" s="365" t="n">
        <x:f>IF(A164="","",0.5*TAN(RADIANS(A164)))</x:f>
        <x:v>0.636734748396252</x:v>
      </x:c>
      <x:c r="U164" s="365" t="n">
        <x:f>IF(A164="","",0.5)</x:f>
        <x:v>0.5</x:v>
      </x:c>
      <x:c r="V164" s="365" t="n">
        <x:f>IF(A164="","",SQRT(2))</x:f>
        <x:v>1.4142135623730951</x:v>
      </x:c>
      <x:c r="W164" s="365" t="n">
        <x:f>IF(A164="","",SQRT(T164^2+U164^2))</x:f>
        <x:v>0.8095870180624429</x:v>
      </x:c>
      <x:c r="X164" s="365" t="n">
        <x:f>IF(A164="","",SQRT(T164^2+2*U164^2))</x:f>
        <x:v>0.9515414545962979</x:v>
      </x:c>
      <x:c r="Y164" s="127"/>
      <x:c r="Z164" s="127"/>
      <x:c r="AA164" s="127"/>
      <x:c r="AB164" s="127"/>
      <x:c r="AC164" s="127"/>
      <x:c r="AD164" s="127"/>
      <x:c r="AE164" s="127"/>
      <x:c r="AF164" s="127"/>
      <x:c r="AG164" s="127"/>
      <x:c r="AH164" s="127"/>
      <x:c r="AI164" s="127"/>
      <x:c r="AJ164" s="127"/>
      <x:c r="AK164" s="127"/>
      <x:c r="AL164" s="127"/>
    </x:row>
    <x:row r="165">
      <x:c r="A165" s="367" t="n">
        <x:f>IF(A164="","",IF(A164+'00_Start'!$B$12&lt;='00_Start'!$B$11,A164+'00_Start'!$B$12,""))</x:f>
        <x:v>51.85950000000038</x:v>
      </x:c>
      <x:c r="B165" s="367" t="n">
        <x:f>IF(A165="","",2/TAN(RADIANS(A165)))</x:f>
        <x:v>1.5704844707621548</x:v>
      </x:c>
      <x:c r="C165" s="369" t="n">
        <x:f>IF($A165="","",ABS(2/T165-'02_Constants'!$D$6)/'02_Constants'!$D$6)</x:f>
        <x:v>0.0001985337165755118</x:v>
      </x:c>
      <x:c r="D165" s="369" t="n">
        <x:f>IF($A165="","",ABS(2/(T165+2*V165)-'02_Constants'!$D$7)/'02_Constants'!$D$7)</x:f>
        <x:v>0.00007615304514424789</x:v>
      </x:c>
      <x:c r="E165" s="369" t="n">
        <x:f>IF($A165="","",ABS((T165+2*V165)/2-'02_Constants'!$D$8)/'02_Constants'!$D$8)</x:f>
        <x:v>0.00030937243830955226</x:v>
      </x:c>
      <x:c r="F165" s="369" t="n">
        <x:f>IF($A165="","",ABS((T165+2*V165)/V165-'02_Constants'!$D$9)/'02_Constants'!$D$9)</x:f>
        <x:v>0.00030937243830945463</x:v>
      </x:c>
      <x:c r="G165" s="369" t="n">
        <x:f>IF($A165="","",ABS(V165-'02_Constants'!$D$10)/'02_Constants'!$D$10)</x:f>
        <x:v>0</x:v>
      </x:c>
      <x:c r="H165" s="369" t="n">
        <x:f>IF($A165="","",ABS((W165+1)/W165-'02_Constants'!$D$11)/'02_Constants'!$D$11)</x:f>
        <x:v>0.00039535132352210906</x:v>
      </x:c>
      <x:c r="I165" s="369" t="n">
        <x:f>IF($A165="","",ABS((U165+2*V165)/(W165+1)-'02_Constants'!$D$12)/'02_Constants'!$D$12)</x:f>
        <x:v>0.000018369868925595705</x:v>
      </x:c>
      <x:c r="J165" s="369" t="n">
        <x:f>IF($A165="","",ABS(X165/U165-'02_Constants'!$D$13)/'02_Constants'!$D$13)</x:f>
        <x:v>0.0004929320864692661</x:v>
      </x:c>
      <x:c r="K165" s="369" t="n">
        <x:f>IF($A165="","",ABS(W165/(W165+U165)-'02_Constants'!$D$14)/'02_Constants'!$D$14)</x:f>
        <x:v>0.00027325569408128005</x:v>
      </x:c>
      <x:c r="L165" s="369" t="n">
        <x:f>IF($A165="","",ABS(W165/U165-'02_Constants'!$D$15)/'02_Constants'!$D$15)</x:f>
        <x:v>0.0007157091362151274</x:v>
      </x:c>
      <x:c r="M165" s="369" t="n">
        <x:f>IF($A165="","",ABS(2*A165/(90-A165)-'02_Constants'!$D$16)/'02_Constants'!$D$16)</x:f>
        <x:v>0.0004086930916346337</x:v>
      </x:c>
      <x:c r="N165" s="369" t="n">
        <x:f>IF($A165="","",ABS(2*A165/(90-A165)-1-'02_Constants'!$D$17)/'02_Constants'!$D$17)</x:f>
        <x:v>0.0006465429512244017</x:v>
      </x:c>
      <x:c r="O165" s="369" t="n">
        <x:f>IF(A165="","",AVERAGE(C165:N165))</x:f>
        <x:v>0.0003203571492009317</x:v>
      </x:c>
      <x:c r="P165" s="369" t="n">
        <x:f>IF(A165="","",SUMPRODUCT(C165:N165,'03_12_Errors'!$P$4:$AA$4)/SUM('03_12_Errors'!$P$4:$AA$4))</x:f>
        <x:v>0.0003217541753211915</x:v>
      </x:c>
      <x:c r="Q165" s="369" t="n">
        <x:f>IF(A165="","",SQRT(SUMSQ(C165:N165)/12))</x:f>
        <x:v>0.00038818120446262096</x:v>
      </x:c>
      <x:c r="R165" s="369" t="n">
        <x:f>IF(A165="","",MAX(C165:N165))</x:f>
        <x:v>0.0007157091362151274</x:v>
      </x:c>
      <x:c r="S165" s="390" t="n">
        <x:f>IF(A165="","",COUNTIF(C165:N165,"&lt;="&amp;'00_Start'!$B$7))</x:f>
        <x:v>12</x:v>
      </x:c>
      <x:c r="T165" s="365" t="n">
        <x:f>IF(A165="","",0.5*TAN(RADIANS(A165)))</x:f>
        <x:v>0.6367461879547913</x:v>
      </x:c>
      <x:c r="U165" s="365" t="n">
        <x:f>IF(A165="","",0.5)</x:f>
        <x:v>0.5</x:v>
      </x:c>
      <x:c r="V165" s="365" t="n">
        <x:f>IF(A165="","",SQRT(2))</x:f>
        <x:v>1.4142135623730951</x:v>
      </x:c>
      <x:c r="W165" s="365" t="n">
        <x:f>IF(A165="","",SQRT(T165^2+U165^2))</x:f>
        <x:v>0.8095960152291749</x:v>
      </x:c>
      <x:c r="X165" s="365" t="n">
        <x:f>IF(A165="","",SQRT(T165^2+2*U165^2))</x:f>
        <x:v>0.9515491095445145</x:v>
      </x:c>
      <x:c r="Y165" s="127"/>
      <x:c r="Z165" s="127"/>
      <x:c r="AA165" s="127"/>
      <x:c r="AB165" s="127"/>
      <x:c r="AC165" s="127"/>
      <x:c r="AD165" s="127"/>
      <x:c r="AE165" s="127"/>
      <x:c r="AF165" s="127"/>
      <x:c r="AG165" s="127"/>
      <x:c r="AH165" s="127"/>
      <x:c r="AI165" s="127"/>
      <x:c r="AJ165" s="127"/>
      <x:c r="AK165" s="127"/>
      <x:c r="AL165" s="127"/>
    </x:row>
    <x:row r="166">
      <x:c r="A166" s="367" t="n">
        <x:f>IF(A165="","",IF(A165+'00_Start'!$B$12&lt;='00_Start'!$B$11,A165+'00_Start'!$B$12,""))</x:f>
        <x:v>51.86000000000038</x:v>
      </x:c>
      <x:c r="B166" s="367" t="n">
        <x:f>IF(A166="","",2/TAN(RADIANS(A166)))</x:f>
        <x:v>1.5704562558691162</x:v>
      </x:c>
      <x:c r="C166" s="369" t="n">
        <x:f>IF($A166="","",ABS(2/T166-'02_Constants'!$D$6)/'02_Constants'!$D$6)</x:f>
        <x:v>0.00021649587535912983</x:v>
      </x:c>
      <x:c r="D166" s="369" t="n">
        <x:f>IF($A166="","",ABS(2/(T166+2*V166)-'02_Constants'!$D$7)/'02_Constants'!$D$7)</x:f>
        <x:v>0.00007945415098577191</x:v>
      </x:c>
      <x:c r="E166" s="369" t="n">
        <x:f>IF($A166="","",ABS((T166+2*V166)/2-'02_Constants'!$D$8)/'02_Constants'!$D$8)</x:f>
        <x:v>0.00031267482781078876</x:v>
      </x:c>
      <x:c r="F166" s="369" t="n">
        <x:f>IF($A166="","",ABS((T166+2*V166)/V166-'02_Constants'!$D$9)/'02_Constants'!$D$9)</x:f>
        <x:v>0.00031267482781071975</x:v>
      </x:c>
      <x:c r="G166" s="369" t="n">
        <x:f>IF($A166="","",ABS(V166-'02_Constants'!$D$10)/'02_Constants'!$D$10)</x:f>
        <x:v>0</x:v>
      </x:c>
      <x:c r="H166" s="369" t="n">
        <x:f>IF($A166="","",ABS((W166+1)/W166-'02_Constants'!$D$11)/'02_Constants'!$D$11)</x:f>
        <x:v>0.00040149024170215434</x:v>
      </x:c>
      <x:c r="I166" s="369" t="n">
        <x:f>IF($A166="","",ABS((U166+2*V166)/(W166+1)-'02_Constants'!$D$12)/'02_Constants'!$D$12)</x:f>
        <x:v>0.000013397737667952874</x:v>
      </x:c>
      <x:c r="J166" s="369" t="n">
        <x:f>IF($A166="","",ABS(X166/U166-'02_Constants'!$D$13)/'02_Constants'!$D$13)</x:f>
        <x:v>0.0005009810328905158</x:v>
      </x:c>
      <x:c r="K166" s="369" t="n">
        <x:f>IF($A166="","",ABS(W166/(W166+U166)-'02_Constants'!$D$14)/'02_Constants'!$D$14)</x:f>
        <x:v>0.0002774999187821021</x:v>
      </x:c>
      <x:c r="L166" s="369" t="n">
        <x:f>IF($A166="","",ABS(W166/U166-'02_Constants'!$D$15)/'02_Constants'!$D$15)</x:f>
        <x:v>0.0007268305692980756</x:v>
      </x:c>
      <x:c r="M166" s="369" t="n">
        <x:f>IF($A166="","",ABS(2*A166/(90-A166)-'02_Constants'!$D$16)/'02_Constants'!$D$16)</x:f>
        <x:v>0.0004314535475265655</x:v>
      </x:c>
      <x:c r="N166" s="369" t="n">
        <x:f>IF($A166="","",ABS(2*A166/(90-A166)-1-'02_Constants'!$D$17)/'02_Constants'!$D$17)</x:f>
        <x:v>0.0006825494622831646</x:v>
      </x:c>
      <x:c r="O166" s="369" t="n">
        <x:f>IF(A166="","",AVERAGE(C166:N166))</x:f>
        <x:v>0.00032962518267641176</x:v>
      </x:c>
      <x:c r="P166" s="369" t="n">
        <x:f>IF(A166="","",SUMPRODUCT(C166:N166,'03_12_Errors'!$P$4:$AA$4)/SUM('03_12_Errors'!$P$4:$AA$4))</x:f>
        <x:v>0.00033190294382538907</x:v>
      </x:c>
      <x:c r="Q166" s="369" t="n">
        <x:f>IF(A166="","",SQRT(SUMSQ(C166:N166)/12))</x:f>
        <x:v>0.00039983176091624366</x:v>
      </x:c>
      <x:c r="R166" s="369" t="n">
        <x:f>IF(A166="","",MAX(C166:N166))</x:f>
        <x:v>0.0007268305692980756</x:v>
      </x:c>
      <x:c r="S166" s="390" t="n">
        <x:f>IF(A166="","",COUNTIF(C166:N166,"&lt;="&amp;'00_Start'!$B$7))</x:f>
        <x:v>12</x:v>
      </x:c>
      <x:c r="T166" s="365" t="n">
        <x:f>IF(A166="","",0.5*TAN(RADIANS(A166)))</x:f>
        <x:v>0.6367576277675965</x:v>
      </x:c>
      <x:c r="U166" s="365" t="n">
        <x:f>IF(A166="","",0.5)</x:f>
        <x:v>0.5</x:v>
      </x:c>
      <x:c r="V166" s="365" t="n">
        <x:f>IF(A166="","",SQRT(2))</x:f>
        <x:v>1.4142135623730951</x:v>
      </x:c>
      <x:c r="W166" s="365" t="n">
        <x:f>IF(A166="","",SQRT(T166^2+U166^2))</x:f>
        <x:v>0.8096050126575408</x:v>
      </x:c>
      <x:c r="X166" s="365" t="n">
        <x:f>IF(A166="","",SQRT(T166^2+2*U166^2))</x:f>
        <x:v>0.9515567647388236</x:v>
      </x:c>
      <x:c r="Y166" s="127"/>
      <x:c r="Z166" s="127"/>
      <x:c r="AA166" s="127"/>
      <x:c r="AB166" s="127"/>
      <x:c r="AC166" s="127"/>
      <x:c r="AD166" s="127"/>
      <x:c r="AE166" s="127"/>
      <x:c r="AF166" s="127"/>
      <x:c r="AG166" s="127"/>
      <x:c r="AH166" s="127"/>
      <x:c r="AI166" s="127"/>
      <x:c r="AJ166" s="127"/>
      <x:c r="AK166" s="127"/>
      <x:c r="AL166" s="127"/>
    </x:row>
    <x:row r="167">
      <x:c r="A167" s="367" t="n">
        <x:f>IF(A166="","",IF(A166+'00_Start'!$B$12&lt;='00_Start'!$B$11,A166+'00_Start'!$B$12,""))</x:f>
        <x:v>51.860500000000386</x:v>
      </x:c>
      <x:c r="B167" s="367" t="n">
        <x:f>IF(A167="","",2/TAN(RADIANS(A167)))</x:f>
        <x:v>1.5704280413627556</x:v>
      </x:c>
      <x:c r="C167" s="369" t="n">
        <x:f>IF($A167="","",ABS(2/T167-'02_Constants'!$D$6)/'02_Constants'!$D$6)</x:f>
        <x:v>0.00023445778797587293</x:v>
      </x:c>
      <x:c r="D167" s="369" t="n">
        <x:f>IF($A167="","",ABS(2/(T167+2*V167)-'02_Constants'!$D$7)/'02_Constants'!$D$7)</x:f>
        <x:v>0.00008275530840491131</x:v>
      </x:c>
      <x:c r="E167" s="369" t="n">
        <x:f>IF($A167="","",ABS((T167+2*V167)/2-'02_Constants'!$D$8)/'02_Constants'!$D$8)</x:f>
        <x:v>0.0003159772907151006</x:v>
      </x:c>
      <x:c r="F167" s="369" t="n">
        <x:f>IF($A167="","",ABS((T167+2*V167)/V167-'02_Constants'!$D$9)/'02_Constants'!$D$9)</x:f>
        <x:v>0.00031597729071509886</x:v>
      </x:c>
      <x:c r="G167" s="369" t="n">
        <x:f>IF($A167="","",ABS(V167-'02_Constants'!$D$10)/'02_Constants'!$D$10)</x:f>
        <x:v>0</x:v>
      </x:c>
      <x:c r="H167" s="369" t="n">
        <x:f>IF($A167="","",ABS((W167+1)/W167-'02_Constants'!$D$11)/'02_Constants'!$D$11)</x:f>
        <x:v>0.00040762920194884015</x:v>
      </x:c>
      <x:c r="I167" s="369" t="n">
        <x:f>IF($A167="","",ABS((U167+2*V167)/(W167+1)-'02_Constants'!$D$12)/'02_Constants'!$D$12)</x:f>
        <x:v>0.000008425511266535796</x:v>
      </x:c>
      <x:c r="J167" s="369" t="n">
        <x:f>IF($A167="","",ABS(X167/U167-'02_Constants'!$D$13)/'02_Constants'!$D$13)</x:f>
        <x:v>0.0005090302380728659</x:v>
      </x:c>
      <x:c r="K167" s="369" t="n">
        <x:f>IF($A167="","",ABS(W167/(W167+U167)-'02_Constants'!$D$14)/'02_Constants'!$D$14)</x:f>
        <x:v>0.0002817442085836843</x:v>
      </x:c>
      <x:c r="L167" s="369" t="n">
        <x:f>IF($A167="","",ABS(W167/U167-'02_Constants'!$D$15)/'02_Constants'!$D$15)</x:f>
        <x:v>0.0007379523257908429</x:v>
      </x:c>
      <x:c r="M167" s="369" t="n">
        <x:f>IF($A167="","",ABS(2*A167/(90-A167)-'02_Constants'!$D$16)/'02_Constants'!$D$16)</x:f>
        <x:v>0.0004542146001871915</x:v>
      </x:c>
      <x:c r="N167" s="369" t="n">
        <x:f>IF($A167="","",ABS(2*A167/(90-A167)-1-'02_Constants'!$D$17)/'02_Constants'!$D$17)</x:f>
        <x:v>0.000718556917416101</x:v>
      </x:c>
      <x:c r="O167" s="369" t="n">
        <x:f>IF(A167="","",AVERAGE(C167:N167))</x:f>
        <x:v>0.00033889339008975373</x:v>
      </x:c>
      <x:c r="P167" s="369" t="n">
        <x:f>IF(A167="","",SUMPRODUCT(C167:N167,'03_12_Errors'!$P$4:$AA$4)/SUM('03_12_Errors'!$P$4:$AA$4))</x:f>
        <x:v>0.0003420518619171801</x:v>
      </x:c>
      <x:c r="Q167" s="369" t="n">
        <x:f>IF(A167="","",SQRT(SUMSQ(C167:N167)/12))</x:f>
        <x:v>0.00041164658299539447</x:v>
      </x:c>
      <x:c r="R167" s="369" t="n">
        <x:f>IF(A167="","",MAX(C167:N167))</x:f>
        <x:v>0.0007379523257908429</x:v>
      </x:c>
      <x:c r="S167" s="390" t="n">
        <x:f>IF(A167="","",COUNTIF(C167:N167,"&lt;="&amp;'00_Start'!$B$7))</x:f>
        <x:v>12</x:v>
      </x:c>
      <x:c r="T167" s="365" t="n">
        <x:f>IF(A167="","",0.5*TAN(RADIANS(A167)))</x:f>
        <x:v>0.6367690678346773</x:v>
      </x:c>
      <x:c r="U167" s="365" t="n">
        <x:f>IF(A167="","",0.5)</x:f>
        <x:v>0.5</x:v>
      </x:c>
      <x:c r="V167" s="365" t="n">
        <x:f>IF(A167="","",SQRT(2))</x:f>
        <x:v>1.4142135623730951</x:v>
      </x:c>
      <x:c r="W167" s="365" t="n">
        <x:f>IF(A167="","",SQRT(T167^2+U167^2))</x:f>
        <x:v>0.8096140103475508</x:v>
      </x:c>
      <x:c r="X167" s="365" t="n">
        <x:f>IF(A167="","",SQRT(T167^2+2*U167^2))</x:f>
        <x:v>0.9515644201792351</x:v>
      </x:c>
      <x:c r="Y167" s="127"/>
      <x:c r="Z167" s="127"/>
      <x:c r="AA167" s="127"/>
      <x:c r="AB167" s="127"/>
      <x:c r="AC167" s="127"/>
      <x:c r="AD167" s="127"/>
      <x:c r="AE167" s="127"/>
      <x:c r="AF167" s="127"/>
      <x:c r="AG167" s="127"/>
      <x:c r="AH167" s="127"/>
      <x:c r="AI167" s="127"/>
      <x:c r="AJ167" s="127"/>
      <x:c r="AK167" s="127"/>
      <x:c r="AL167" s="127"/>
    </x:row>
    <x:row r="168">
      <x:c r="A168" s="367" t="n">
        <x:f>IF(A167="","",IF(A167+'00_Start'!$B$12&lt;='00_Start'!$B$11,A167+'00_Start'!$B$12,""))</x:f>
        <x:v>51.86100000000039</x:v>
      </x:c>
      <x:c r="B168" s="367" t="n">
        <x:f>IF(A168="","",2/TAN(RADIANS(A168)))</x:f>
        <x:v>1.5703998272430595</x:v>
      </x:c>
      <x:c r="C168" s="369" t="n">
        <x:f>IF($A168="","",ABS(2/T168-'02_Constants'!$D$6)/'02_Constants'!$D$6)</x:f>
        <x:v>0.00025241945443436393</x:v>
      </x:c>
      <x:c r="D168" s="369" t="n">
        <x:f>IF($A168="","",ABS(2/(T168+2*V168)-'02_Constants'!$D$7)/'02_Constants'!$D$7)</x:f>
        <x:v>0.00008605651740358951</x:v>
      </x:c>
      <x:c r="E168" s="369" t="n">
        <x:f>IF($A168="","",ABS((T168+2*V168)/2-'02_Constants'!$D$8)/'02_Constants'!$D$8)</x:f>
        <x:v>0.0003192798270256926</x:v>
      </x:c>
      <x:c r="F168" s="369" t="n">
        <x:f>IF($A168="","",ABS((T168+2*V168)/V168-'02_Constants'!$D$9)/'02_Constants'!$D$9)</x:f>
        <x:v>0.000319279827025674</x:v>
      </x:c>
      <x:c r="G168" s="369" t="n">
        <x:f>IF($A168="","",ABS(V168-'02_Constants'!$D$10)/'02_Constants'!$D$10)</x:f>
        <x:v>0</x:v>
      </x:c>
      <x:c r="H168" s="369" t="n">
        <x:f>IF($A168="","",ABS((W168+1)/W168-'02_Constants'!$D$11)/'02_Constants'!$D$11)</x:f>
        <x:v>0.0004137682042613721</x:v>
      </x:c>
      <x:c r="I168" s="369" t="n">
        <x:f>IF($A168="","",ABS((U168+2*V168)/(W168+1)-'02_Constants'!$D$12)/'02_Constants'!$D$12)</x:f>
        <x:v>0.000003453189719292178</x:v>
      </x:c>
      <x:c r="J168" s="369" t="n">
        <x:f>IF($A168="","",ABS(X168/U168-'02_Constants'!$D$13)/'02_Constants'!$D$13)</x:f>
        <x:v>0.0005170797020268222</x:v>
      </x:c>
      <x:c r="K168" s="369" t="n">
        <x:f>IF($A168="","",ABS(W168/(W168+U168)-'02_Constants'!$D$14)/'02_Constants'!$D$14)</x:f>
        <x:v>0.00028598856348674504</x:v>
      </x:c>
      <x:c r="L168" s="369" t="n">
        <x:f>IF($A168="","",ABS(W168/U168-'02_Constants'!$D$15)/'02_Constants'!$D$15)</x:f>
        <x:v>0.00074907440570578</x:v>
      </x:c>
      <x:c r="M168" s="369" t="n">
        <x:f>IF($A168="","",ABS(2*A168/(90-A168)-'02_Constants'!$D$16)/'02_Constants'!$D$16)</x:f>
        <x:v>0.0004769762496398737</x:v>
      </x:c>
      <x:c r="N168" s="369" t="n">
        <x:f>IF($A168="","",ABS(2*A168/(90-A168)-1-'02_Constants'!$D$17)/'02_Constants'!$D$17)</x:f>
        <x:v>0.0007545653166601691</x:v>
      </x:c>
      <x:c r="O168" s="369" t="n">
        <x:f>IF(A168="","",AVERAGE(C168:N168))</x:f>
        <x:v>0.00034816177144911454</x:v>
      </x:c>
      <x:c r="P168" s="369" t="n">
        <x:f>IF(A168="","",SUMPRODUCT(C168:N168,'03_12_Errors'!$P$4:$AA$4)/SUM('03_12_Errors'!$P$4:$AA$4))</x:f>
        <x:v>0.00035220092960557524</x:v>
      </x:c>
      <x:c r="Q168" s="369" t="n">
        <x:f>IF(A168="","",SQRT(SUMSQ(C168:N168)/12))</x:f>
        <x:v>0.00042361195629927654</x:v>
      </x:c>
      <x:c r="R168" s="369" t="n">
        <x:f>IF(A168="","",MAX(C168:N168))</x:f>
        <x:v>0.0007545653166601691</x:v>
      </x:c>
      <x:c r="S168" s="390" t="n">
        <x:f>IF(A168="","",COUNTIF(C168:N168,"&lt;="&amp;'00_Start'!$B$7))</x:f>
        <x:v>12</x:v>
      </x:c>
      <x:c r="T168" s="365" t="n">
        <x:f>IF(A168="","",0.5*TAN(RADIANS(A168)))</x:f>
        <x:v>0.6367805081560446</x:v>
      </x:c>
      <x:c r="U168" s="365" t="n">
        <x:f>IF(A168="","",0.5)</x:f>
        <x:v>0.5</x:v>
      </x:c>
      <x:c r="V168" s="365" t="n">
        <x:f>IF(A168="","",SQRT(2))</x:f>
        <x:v>1.4142135623730951</x:v>
      </x:c>
      <x:c r="W168" s="365" t="n">
        <x:f>IF(A168="","",SQRT(T168^2+U168^2))</x:f>
        <x:v>0.8096230082992147</x:v>
      </x:c>
      <x:c r="X168" s="365" t="n">
        <x:f>IF(A168="","",SQRT(T168^2+2*U168^2))</x:f>
        <x:v>0.9515720758657593</x:v>
      </x:c>
      <x:c r="Y168" s="127"/>
      <x:c r="Z168" s="127"/>
      <x:c r="AA168" s="127"/>
      <x:c r="AB168" s="127"/>
      <x:c r="AC168" s="127"/>
      <x:c r="AD168" s="127"/>
      <x:c r="AE168" s="127"/>
      <x:c r="AF168" s="127"/>
      <x:c r="AG168" s="127"/>
      <x:c r="AH168" s="127"/>
      <x:c r="AI168" s="127"/>
      <x:c r="AJ168" s="127"/>
      <x:c r="AK168" s="127"/>
      <x:c r="AL168" s="127"/>
    </x:row>
    <x:row r="169">
      <x:c r="A169" s="367" t="n">
        <x:f>IF(A168="","",IF(A168+'00_Start'!$B$12&lt;='00_Start'!$B$11,A168+'00_Start'!$B$12,""))</x:f>
        <x:v>51.86150000000039</x:v>
      </x:c>
      <x:c r="B169" s="367" t="n">
        <x:f>IF(A169="","",2/TAN(RADIANS(A169)))</x:f>
        <x:v>1.5703716135100159</x:v>
      </x:c>
      <x:c r="C169" s="369" t="n">
        <x:f>IF($A169="","",ABS(2/T169-'02_Constants'!$D$6)/'02_Constants'!$D$6)</x:f>
        <x:v>0.0002703808747422362</x:v>
      </x:c>
      <x:c r="D169" s="369" t="n">
        <x:f>IF($A169="","",ABS(2/(T169+2*V169)-'02_Constants'!$D$7)/'02_Constants'!$D$7)</x:f>
        <x:v>0.00008935777798334526</x:v>
      </x:c>
      <x:c r="E169" s="369" t="n">
        <x:f>IF($A169="","",ABS((T169+2*V169)/2-'02_Constants'!$D$8)/'02_Constants'!$D$8)</x:f>
        <x:v>0.000322582436745257</x:v>
      </x:c>
      <x:c r="F169" s="369" t="n">
        <x:f>IF($A169="","",ABS((T169+2*V169)/V169-'02_Constants'!$D$9)/'02_Constants'!$D$9)</x:f>
        <x:v>0.00032258243674516463</x:v>
      </x:c>
      <x:c r="G169" s="369" t="n">
        <x:f>IF($A169="","",ABS(V169-'02_Constants'!$D$10)/'02_Constants'!$D$10)</x:f>
        <x:v>0</x:v>
      </x:c>
      <x:c r="H169" s="369" t="n">
        <x:f>IF($A169="","",ABS((W169+1)/W169-'02_Constants'!$D$11)/'02_Constants'!$D$11)</x:f>
        <x:v>0.00041990724863975014</x:v>
      </x:c>
      <x:c r="I169" s="369" t="n">
        <x:f>IF($A169="","",ABS((U169+2*V169)/(W169+1)-'02_Constants'!$D$12)/'02_Constants'!$D$12)</x:f>
        <x:v>0.000001519226975588828</x:v>
      </x:c>
      <x:c r="J169" s="369" t="n">
        <x:f>IF($A169="","",ABS(X169/U169-'02_Constants'!$D$13)/'02_Constants'!$D$13)</x:f>
        <x:v>0.0005251294247630077</x:v>
      </x:c>
      <x:c r="K169" s="369" t="n">
        <x:f>IF($A169="","",ABS(W169/(W169+U169)-'02_Constants'!$D$14)/'02_Constants'!$D$14)</x:f>
        <x:v>0.00029023298349272153</x:v>
      </x:c>
      <x:c r="L169" s="369" t="n">
        <x:f>IF($A169="","",ABS(W169/U169-'02_Constants'!$D$15)/'02_Constants'!$D$15)</x:f>
        <x:v>0.0007601968090556496</x:v>
      </x:c>
      <x:c r="M169" s="369" t="n">
        <x:f>IF($A169="","",ABS(2*A169/(90-A169)-'02_Constants'!$D$16)/'02_Constants'!$D$16)</x:f>
        <x:v>0.0004997384959081376</x:v>
      </x:c>
      <x:c r="N169" s="369" t="n">
        <x:f>IF($A169="","",ABS(2*A169/(90-A169)-1-'02_Constants'!$D$17)/'02_Constants'!$D$17)</x:f>
        <x:v>0.0007905746600525859</x:v>
      </x:c>
      <x:c r="O169" s="369" t="n">
        <x:f>IF(A169="","",AVERAGE(C169:N169))</x:f>
        <x:v>0.00035768353125862034</x:v>
      </x:c>
      <x:c r="P169" s="369" t="n">
        <x:f>IF(A169="","",SUMPRODUCT(C169:N169,'03_12_Errors'!$P$4:$AA$4)/SUM('03_12_Errors'!$P$4:$AA$4))</x:f>
        <x:v>0.0003628565558914151</x:v>
      </x:c>
      <x:c r="Q169" s="369" t="n">
        <x:f>IF(A169="","",SQRT(SUMSQ(C169:N169)/12))</x:f>
        <x:v>0.0004357155069330844</x:v>
      </x:c>
      <x:c r="R169" s="369" t="n">
        <x:f>IF(A169="","",MAX(C169:N169))</x:f>
        <x:v>0.0007905746600525859</x:v>
      </x:c>
      <x:c r="S169" s="390" t="n">
        <x:f>IF(A169="","",COUNTIF(C169:N169,"&lt;="&amp;'00_Start'!$B$7))</x:f>
        <x:v>12</x:v>
      </x:c>
      <x:c r="T169" s="365" t="n">
        <x:f>IF(A169="","",0.5*TAN(RADIANS(A169)))</x:f>
        <x:v>0.6367919487317083</x:v>
      </x:c>
      <x:c r="U169" s="365" t="n">
        <x:f>IF(A169="","",0.5)</x:f>
        <x:v>0.5</x:v>
      </x:c>
      <x:c r="V169" s="365" t="n">
        <x:f>IF(A169="","",SQRT(2))</x:f>
        <x:v>1.4142135623730951</x:v>
      </x:c>
      <x:c r="W169" s="365" t="n">
        <x:f>IF(A169="","",SQRT(T169^2+U169^2))</x:f>
        <x:v>0.8096320065125431</x:v>
      </x:c>
      <x:c r="X169" s="365" t="n">
        <x:f>IF(A169="","",SQRT(T169^2+2*U169^2))</x:f>
        <x:v>0.9515797317984062</x:v>
      </x:c>
      <x:c r="Y169" s="127"/>
      <x:c r="Z169" s="127"/>
      <x:c r="AA169" s="127"/>
      <x:c r="AB169" s="127"/>
      <x:c r="AC169" s="127"/>
      <x:c r="AD169" s="127"/>
      <x:c r="AE169" s="127"/>
      <x:c r="AF169" s="127"/>
      <x:c r="AG169" s="127"/>
      <x:c r="AH169" s="127"/>
      <x:c r="AI169" s="127"/>
      <x:c r="AJ169" s="127"/>
      <x:c r="AK169" s="127"/>
      <x:c r="AL169" s="127"/>
    </x:row>
    <x:row r="170">
      <x:c r="A170" s="367" t="n">
        <x:f>IF(A169="","",IF(A169+'00_Start'!$B$12&lt;='00_Start'!$B$11,A169+'00_Start'!$B$12,""))</x:f>
        <x:v>51.86200000000039</x:v>
      </x:c>
      <x:c r="B170" s="367" t="n">
        <x:f>IF(A170="","",2/TAN(RADIANS(A170)))</x:f>
        <x:v>1.5703434001636132</x:v>
      </x:c>
      <x:c r="C170" s="369" t="n">
        <x:f>IF($A170="","",ABS(2/T170-'02_Constants'!$D$6)/'02_Constants'!$D$6)</x:f>
        <x:v>0.00028834204890684025</x:v>
      </x:c>
      <x:c r="D170" s="369" t="n">
        <x:f>IF($A170="","",ABS(2/(T170+2*V170)-'02_Constants'!$D$7)/'02_Constants'!$D$7)</x:f>
        <x:v>0.00009265909014590959</x:v>
      </x:c>
      <x:c r="E170" s="369" t="n">
        <x:f>IF($A170="","",ABS((T170+2*V170)/2-'02_Constants'!$D$8)/'02_Constants'!$D$8)</x:f>
        <x:v>0.00032588511987674226</x:v>
      </x:c>
      <x:c r="F170" s="369" t="n">
        <x:f>IF($A170="","",ABS((T170+2*V170)/V170-'02_Constants'!$D$9)/'02_Constants'!$D$9)</x:f>
        <x:v>0.0003258851198766529</x:v>
      </x:c>
      <x:c r="G170" s="369" t="n">
        <x:f>IF($A170="","",ABS(V170-'02_Constants'!$D$10)/'02_Constants'!$D$10)</x:f>
        <x:v>0</x:v>
      </x:c>
      <x:c r="H170" s="369" t="n">
        <x:f>IF($A170="","",ABS((W170+1)/W170-'02_Constants'!$D$11)/'02_Constants'!$D$11)</x:f>
        <x:v>0.0004260463350831799</x:v>
      </x:c>
      <x:c r="I170" s="369" t="n">
        <x:f>IF($A170="","",ABS((U170+2*V170)/(W170+1)-'02_Constants'!$D$12)/'02_Constants'!$D$12)</x:f>
        <x:v>0.0000064917388201595165</x:v>
      </x:c>
      <x:c r="J170" s="369" t="n">
        <x:f>IF($A170="","",ABS(X170/U170-'02_Constants'!$D$13)/'02_Constants'!$D$13)</x:f>
        <x:v>0.0005331794062918112</x:v>
      </x:c>
      <x:c r="K170" s="369" t="n">
        <x:f>IF($A170="","",ABS(W170/(W170+U170)-'02_Constants'!$D$14)/'02_Constants'!$D$14)</x:f>
        <x:v>0.000294477468601973</x:v>
      </x:c>
      <x:c r="L170" s="369" t="n">
        <x:f>IF($A170="","",ABS(W170/U170-'02_Constants'!$D$15)/'02_Constants'!$D$15)</x:f>
        <x:v>0.0007713195358525277</x:v>
      </x:c>
      <x:c r="M170" s="369" t="n">
        <x:f>IF($A170="","",ABS(2*A170/(90-A170)-'02_Constants'!$D$16)/'02_Constants'!$D$16)</x:f>
        <x:v>0.0005225013390153452</x:v>
      </x:c>
      <x:c r="N170" s="369" t="n">
        <x:f>IF($A170="","",ABS(2*A170/(90-A170)-1-'02_Constants'!$D$17)/'02_Constants'!$D$17)</x:f>
        <x:v>0.0008265849476303094</x:v>
      </x:c>
      <x:c r="O170" s="369" t="n">
        <x:f>IF(A170="","",AVERAGE(C170:N170))</x:f>
        <x:v>0.00036778101250845425</x:v>
      </x:c>
      <x:c r="P170" s="369" t="n">
        <x:f>IF(A170="","",SUMPRODUCT(C170:N170,'03_12_Errors'!$P$4:$AA$4)/SUM('03_12_Errors'!$P$4:$AA$4))</x:f>
        <x:v>0.00037466342674788336</x:v>
      </x:c>
      <x:c r="Q170" s="369" t="n">
        <x:f>IF(A170="","",SQRT(SUMSQ(C170:N170)/12))</x:f>
        <x:v>0.0004479460625358801</x:v>
      </x:c>
      <x:c r="R170" s="369" t="n">
        <x:f>IF(A170="","",MAX(C170:N170))</x:f>
        <x:v>0.0008265849476303094</x:v>
      </x:c>
      <x:c r="S170" s="390" t="n">
        <x:f>IF(A170="","",COUNTIF(C170:N170,"&lt;="&amp;'00_Start'!$B$7))</x:f>
        <x:v>12</x:v>
      </x:c>
      <x:c r="T170" s="365" t="n">
        <x:f>IF(A170="","",0.5*TAN(RADIANS(A170)))</x:f>
        <x:v>0.6368033895616784</x:v>
      </x:c>
      <x:c r="U170" s="365" t="n">
        <x:f>IF(A170="","",0.5)</x:f>
        <x:v>0.5</x:v>
      </x:c>
      <x:c r="V170" s="365" t="n">
        <x:f>IF(A170="","",SQRT(2))</x:f>
        <x:v>1.4142135623730951</x:v>
      </x:c>
      <x:c r="W170" s="365" t="n">
        <x:f>IF(A170="","",SQRT(T170^2+U170^2))</x:f>
        <x:v>0.8096410049875455</x:v>
      </x:c>
      <x:c r="X170" s="365" t="n">
        <x:f>IF(A170="","",SQRT(T170^2+2*U170^2))</x:f>
        <x:v>0.9515873879771856</x:v>
      </x:c>
      <x:c r="Y170" s="127"/>
      <x:c r="Z170" s="127"/>
      <x:c r="AA170" s="127"/>
      <x:c r="AB170" s="127"/>
      <x:c r="AC170" s="127"/>
      <x:c r="AD170" s="127"/>
      <x:c r="AE170" s="127"/>
      <x:c r="AF170" s="127"/>
      <x:c r="AG170" s="127"/>
      <x:c r="AH170" s="127"/>
      <x:c r="AI170" s="127"/>
      <x:c r="AJ170" s="127"/>
      <x:c r="AK170" s="127"/>
      <x:c r="AL170" s="127"/>
    </x:row>
    <x:row r="171">
      <x:c r="A171" s="367" t="n">
        <x:f>IF(A170="","",IF(A170+'00_Start'!$B$12&lt;='00_Start'!$B$11,A170+'00_Start'!$B$12,""))</x:f>
        <x:v>51.862500000000395</x:v>
      </x:c>
      <x:c r="B171" s="367" t="n">
        <x:f>IF(A171="","",2/TAN(RADIANS(A171)))</x:f>
        <x:v>1.5703151872038386</x:v>
      </x:c>
      <x:c r="C171" s="369" t="n">
        <x:f>IF($A171="","",ABS(2/T171-'02_Constants'!$D$6)/'02_Constants'!$D$6)</x:f>
        <x:v>0.0003063029769363749</x:v>
      </x:c>
      <x:c r="D171" s="369" t="n">
        <x:f>IF($A171="","",ABS(2/(T171+2*V171)-'02_Constants'!$D$7)/'02_Constants'!$D$7)</x:f>
        <x:v>0.00009596045389320593</x:v>
      </x:c>
      <x:c r="E171" s="369" t="n">
        <x:f>IF($A171="","",ABS((T171+2*V171)/2-'02_Constants'!$D$8)/'02_Constants'!$D$8)</x:f>
        <x:v>0.00032918787642322516</x:v>
      </x:c>
      <x:c r="F171" s="369" t="n">
        <x:f>IF($A171="","",ABS((T171+2*V171)/V171-'02_Constants'!$D$9)/'02_Constants'!$D$9)</x:f>
        <x:v>0.0003291878764232209</x:v>
      </x:c>
      <x:c r="G171" s="369" t="n">
        <x:f>IF($A171="","",ABS(V171-'02_Constants'!$D$10)/'02_Constants'!$D$10)</x:f>
        <x:v>0</x:v>
      </x:c>
      <x:c r="H171" s="369" t="n">
        <x:f>IF($A171="","",ABS((W171+1)/W171-'02_Constants'!$D$11)/'02_Constants'!$D$11)</x:f>
        <x:v>0.00043218546359126414</x:v>
      </x:c>
      <x:c r="I171" s="369" t="n">
        <x:f>IF($A171="","",ABS((U171+2*V171)/(W171+1)-'02_Constants'!$D$12)/'02_Constants'!$D$12)</x:f>
        <x:v>0.000011464345816592905</x:v>
      </x:c>
      <x:c r="J171" s="369" t="n">
        <x:f>IF($A171="","",ABS(X171/U171-'02_Constants'!$D$13)/'02_Constants'!$D$13)</x:f>
        <x:v>0.0005412296466240892</x:v>
      </x:c>
      <x:c r="K171" s="369" t="n">
        <x:f>IF($A171="","",ABS(W171/(W171+U171)-'02_Constants'!$D$14)/'02_Constants'!$D$14)</x:f>
        <x:v>0.00029872201881575697</x:v>
      </x:c>
      <x:c r="L171" s="369" t="n">
        <x:f>IF($A171="","",ABS(W171/U171-'02_Constants'!$D$15)/'02_Constants'!$D$15)</x:f>
        <x:v>0.0007824425861091772</x:v>
      </x:c>
      <x:c r="M171" s="369" t="n">
        <x:f>IF($A171="","",ABS(2*A171/(90-A171)-'02_Constants'!$D$16)/'02_Constants'!$D$16)</x:f>
        <x:v>0.0005452647789850222</x:v>
      </x:c>
      <x:c r="N171" s="369" t="n">
        <x:f>IF($A171="","",ABS(2*A171/(90-A171)-1-'02_Constants'!$D$17)/'02_Constants'!$D$17)</x:f>
        <x:v>0.0008625961794305564</x:v>
      </x:c>
      <x:c r="O171" s="369" t="n">
        <x:f>IF(A171="","",AVERAGE(C171:N171))</x:f>
        <x:v>0.00037787868358737383</x:v>
      </x:c>
      <x:c r="P171" s="369" t="n">
        <x:f>IF(A171="","",SUMPRODUCT(C171:N171,'03_12_Errors'!$P$4:$AA$4)/SUM('03_12_Errors'!$P$4:$AA$4))</x:f>
        <x:v>0.00038647047894502164</x:v>
      </x:c>
      <x:c r="Q171" s="369" t="n">
        <x:f>IF(A171="","",SQRT(SUMSQ(C171:N171)/12))</x:f>
        <x:v>0.0004602935266364758</x:v>
      </x:c>
      <x:c r="R171" s="369" t="n">
        <x:f>IF(A171="","",MAX(C171:N171))</x:f>
        <x:v>0.0008625961794305564</x:v>
      </x:c>
      <x:c r="S171" s="390" t="n">
        <x:f>IF(A171="","",COUNTIF(C171:N171,"&lt;="&amp;'00_Start'!$B$7))</x:f>
        <x:v>12</x:v>
      </x:c>
      <x:c r="T171" s="365" t="n">
        <x:f>IF(A171="","",0.5*TAN(RADIANS(A171)))</x:f>
        <x:v>0.6368148306459654</x:v>
      </x:c>
      <x:c r="U171" s="365" t="n">
        <x:f>IF(A171="","",0.5)</x:f>
        <x:v>0.5</x:v>
      </x:c>
      <x:c r="V171" s="365" t="n">
        <x:f>IF(A171="","",SQRT(2))</x:f>
        <x:v>1.4142135623730951</x:v>
      </x:c>
      <x:c r="W171" s="365" t="n">
        <x:f>IF(A171="","",SQRT(T171^2+U171^2))</x:f>
        <x:v>0.8096500037242325</x:v>
      </x:c>
      <x:c r="X171" s="365" t="n">
        <x:f>IF(A171="","",SQRT(T171^2+2*U171^2))</x:f>
        <x:v>0.9515950444021078</x:v>
      </x:c>
      <x:c r="Y171" s="127"/>
      <x:c r="Z171" s="127"/>
      <x:c r="AA171" s="127"/>
      <x:c r="AB171" s="127"/>
      <x:c r="AC171" s="127"/>
      <x:c r="AD171" s="127"/>
      <x:c r="AE171" s="127"/>
      <x:c r="AF171" s="127"/>
      <x:c r="AG171" s="127"/>
      <x:c r="AH171" s="127"/>
      <x:c r="AI171" s="127"/>
      <x:c r="AJ171" s="127"/>
      <x:c r="AK171" s="127"/>
      <x:c r="AL171" s="127"/>
    </x:row>
    <x:row r="172">
      <x:c r="A172" s="367" t="n">
        <x:f>IF(A171="","",IF(A171+'00_Start'!$B$12&lt;='00_Start'!$B$11,A171+'00_Start'!$B$12,""))</x:f>
        <x:v>51.8630000000004</x:v>
      </x:c>
      <x:c r="B172" s="367" t="n">
        <x:f>IF(A172="","",2/TAN(RADIANS(A172)))</x:f>
        <x:v>1.5702869746306805</x:v>
      </x:c>
      <x:c r="C172" s="369" t="n">
        <x:f>IF($A172="","",ABS(2/T172-'02_Constants'!$D$6)/'02_Constants'!$D$6)</x:f>
        <x:v>0.0003242636588381908</x:v>
      </x:c>
      <x:c r="D172" s="369" t="n">
        <x:f>IF($A172="","",ABS(2/(T172+2*V172)-'02_Constants'!$D$7)/'02_Constants'!$D$7)</x:f>
        <x:v>0.00009926186922638833</x:v>
      </x:c>
      <x:c r="E172" s="369" t="n">
        <x:f>IF($A172="","",ABS((T172+2*V172)/2-'02_Constants'!$D$8)/'02_Constants'!$D$8)</x:f>
        <x:v>0.00033249070638752607</x:v>
      </x:c>
      <x:c r="F172" s="369" t="n">
        <x:f>IF($A172="","",ABS((T172+2*V172)/V172-'02_Constants'!$D$9)/'02_Constants'!$D$9)</x:f>
        <x:v>0.00033249070638740664</x:v>
      </x:c>
      <x:c r="G172" s="369" t="n">
        <x:f>IF($A172="","",ABS(V172-'02_Constants'!$D$10)/'02_Constants'!$D$10)</x:f>
        <x:v>0</x:v>
      </x:c>
      <x:c r="H172" s="369" t="n">
        <x:f>IF($A172="","",ABS((W172+1)/W172-'02_Constants'!$D$11)/'02_Constants'!$D$11)</x:f>
        <x:v>0.0004383246341634071</x:v>
      </x:c>
      <x:c r="I172" s="369" t="n">
        <x:f>IF($A172="","",ABS((U172+2*V172)/(W172+1)-'02_Constants'!$D$12)/'02_Constants'!$D$12)</x:f>
        <x:v>0.00001643704796657912</x:v>
      </x:c>
      <x:c r="J172" s="369" t="n">
        <x:f>IF($A172="","",ABS(X172/U172-'02_Constants'!$D$13)/'02_Constants'!$D$13)</x:f>
        <x:v>0.0005492801457702307</x:v>
      </x:c>
      <x:c r="K172" s="369" t="n">
        <x:f>IF($A172="","",ABS(W172/(W172+U172)-'02_Constants'!$D$14)/'02_Constants'!$D$14)</x:f>
        <x:v>0.0003029666341346123</x:v>
      </x:c>
      <x:c r="L172" s="369" t="n">
        <x:f>IF($A172="","",ABS(W172/U172-'02_Constants'!$D$15)/'02_Constants'!$D$15)</x:f>
        <x:v>0.0007935659598379486</x:v>
      </x:c>
      <x:c r="M172" s="369" t="n">
        <x:f>IF($A172="","",ABS(2*A172/(90-A172)-'02_Constants'!$D$16)/'02_Constants'!$D$16)</x:f>
        <x:v>0.0005680288158406938</x:v>
      </x:c>
      <x:c r="N172" s="369" t="n">
        <x:f>IF($A172="","",ABS(2*A172/(90-A172)-1-'02_Constants'!$D$17)/'02_Constants'!$D$17)</x:f>
        <x:v>0.0008986083554905438</x:v>
      </x:c>
      <x:c r="O172" s="369" t="n">
        <x:f>IF(A172="","",AVERAGE(C172:N172))</x:f>
        <x:v>0.00038797654450362725</x:v>
      </x:c>
      <x:c r="P172" s="369" t="n">
        <x:f>IF(A172="","",SUMPRODUCT(C172:N172,'03_12_Errors'!$P$4:$AA$4)/SUM('03_12_Errors'!$P$4:$AA$4))</x:f>
        <x:v>0.0003982777124921749</x:v>
      </x:c>
      <x:c r="Q172" s="369" t="n">
        <x:f>IF(A172="","",SQRT(SUMSQ(C172:N172)/12))</x:f>
        <x:v>0.0004727487656414704</x:v>
      </x:c>
      <x:c r="R172" s="369" t="n">
        <x:f>IF(A172="","",MAX(C172:N172))</x:f>
        <x:v>0.0008986083554905438</x:v>
      </x:c>
      <x:c r="S172" s="390" t="n">
        <x:f>IF(A172="","",COUNTIF(C172:N172,"&lt;="&amp;'00_Start'!$B$7))</x:f>
        <x:v>12</x:v>
      </x:c>
      <x:c r="T172" s="365" t="n">
        <x:f>IF(A172="","",0.5*TAN(RADIANS(A172)))</x:f>
        <x:v>0.6368262719845794</x:v>
      </x:c>
      <x:c r="U172" s="365" t="n">
        <x:f>IF(A172="","",0.5)</x:f>
        <x:v>0.5</x:v>
      </x:c>
      <x:c r="V172" s="365" t="n">
        <x:f>IF(A172="","",SQRT(2))</x:f>
        <x:v>1.4142135623730951</x:v>
      </x:c>
      <x:c r="W172" s="365" t="n">
        <x:f>IF(A172="","",SQRT(T172^2+U172^2))</x:f>
        <x:v>0.8096590027226138</x:v>
      </x:c>
      <x:c r="X172" s="365" t="n">
        <x:f>IF(A172="","",SQRT(T172^2+2*U172^2))</x:f>
        <x:v>0.9516027010731829</x:v>
      </x:c>
      <x:c r="Y172" s="127"/>
      <x:c r="Z172" s="127"/>
      <x:c r="AA172" s="127"/>
      <x:c r="AB172" s="127"/>
      <x:c r="AC172" s="127"/>
      <x:c r="AD172" s="127"/>
      <x:c r="AE172" s="127"/>
      <x:c r="AF172" s="127"/>
      <x:c r="AG172" s="127"/>
      <x:c r="AH172" s="127"/>
      <x:c r="AI172" s="127"/>
      <x:c r="AJ172" s="127"/>
      <x:c r="AK172" s="127"/>
      <x:c r="AL172" s="127"/>
    </x:row>
    <x:row r="173">
      <x:c r="A173" s="367" t="n">
        <x:f>IF(A172="","",IF(A172+'00_Start'!$B$12&lt;='00_Start'!$B$11,A172+'00_Start'!$B$12,""))</x:f>
        <x:v>51.8635000000004</x:v>
      </x:c>
      <x:c r="B173" s="367" t="n">
        <x:f>IF(A173="","",2/TAN(RADIANS(A173)))</x:f>
        <x:v>1.5702587624441258</x:v>
      </x:c>
      <x:c r="C173" s="369" t="n">
        <x:f>IF($A173="","",ABS(2/T173-'02_Constants'!$D$6)/'02_Constants'!$D$6)</x:f>
        <x:v>0.0003422240946206281</x:v>
      </x:c>
      <x:c r="D173" s="369" t="n">
        <x:f>IF($A173="","",ABS(2/(T173+2*V173)-'02_Constants'!$D$7)/'02_Constants'!$D$7)</x:f>
        <x:v>0.00010256333614776488</x:v>
      </x:c>
      <x:c r="E173" s="369" t="n">
        <x:f>IF($A173="","",ABS((T173+2*V173)/2-'02_Constants'!$D$8)/'02_Constants'!$D$8)</x:f>
        <x:v>0.00033579360977272166</x:v>
      </x:c>
      <x:c r="F173" s="369" t="n">
        <x:f>IF($A173="","",ABS((T173+2*V173)/V173-'02_Constants'!$D$9)/'02_Constants'!$D$9)</x:f>
        <x:v>0.000335793609772655</x:v>
      </x:c>
      <x:c r="G173" s="369" t="n">
        <x:f>IF($A173="","",ABS(V173-'02_Constants'!$D$10)/'02_Constants'!$D$10)</x:f>
        <x:v>0</x:v>
      </x:c>
      <x:c r="H173" s="369" t="n">
        <x:f>IF($A173="","",ABS((W173+1)/W173-'02_Constants'!$D$11)/'02_Constants'!$D$11)</x:f>
        <x:v>0.00044446384679941014</x:v>
      </x:c>
      <x:c r="I173" s="369" t="n">
        <x:f>IF($A173="","",ABS((U173+2*V173)/(W173+1)-'02_Constants'!$D$12)/'02_Constants'!$D$12)</x:f>
        <x:v>0.000021409845272291178</x:v>
      </x:c>
      <x:c r="J173" s="369" t="n">
        <x:f>IF($A173="","",ABS(X173/U173-'02_Constants'!$D$13)/'02_Constants'!$D$13)</x:f>
        <x:v>0.0005573309037409753</x:v>
      </x:c>
      <x:c r="K173" s="369" t="n">
        <x:f>IF($A173="","",ABS(W173/(W173+U173)-'02_Constants'!$D$14)/'02_Constants'!$D$14)</x:f>
        <x:v>0.0003072113145596168</x:v>
      </x:c>
      <x:c r="L173" s="369" t="n">
        <x:f>IF($A173="","",ABS(W173/U173-'02_Constants'!$D$15)/'02_Constants'!$D$15)</x:f>
        <x:v>0.0008046896570513299</x:v>
      </x:c>
      <x:c r="M173" s="369" t="n">
        <x:f>IF($A173="","",ABS(2*A173/(90-A173)-'02_Constants'!$D$16)/'02_Constants'!$D$16)</x:f>
        <x:v>0.0005907934496058856</x:v>
      </x:c>
      <x:c r="N173" s="369" t="n">
        <x:f>IF($A173="","",ABS(2*A173/(90-A173)-1-'02_Constants'!$D$17)/'02_Constants'!$D$17)</x:f>
        <x:v>0.0009346214758474882</x:v>
      </x:c>
      <x:c r="O173" s="369" t="n">
        <x:f>IF(A173="","",AVERAGE(C173:N173))</x:f>
        <x:v>0.00039807459526589717</x:v>
      </x:c>
      <x:c r="P173" s="369" t="n">
        <x:f>IF(A173="","",SUMPRODUCT(C173:N173,'03_12_Errors'!$P$4:$AA$4)/SUM('03_12_Errors'!$P$4:$AA$4))</x:f>
        <x:v>0.0004100851273991802</x:v>
      </x:c>
      <x:c r="Q173" s="369" t="n">
        <x:f>IF(A173="","",SQRT(SUMSQ(C173:N173)/12))</x:f>
        <x:v>0.00048530350757811444</x:v>
      </x:c>
      <x:c r="R173" s="369" t="n">
        <x:f>IF(A173="","",MAX(C173:N173))</x:f>
        <x:v>0.0009346214758474882</x:v>
      </x:c>
      <x:c r="S173" s="390" t="n">
        <x:f>IF(A173="","",COUNTIF(C173:N173,"&lt;="&amp;'00_Start'!$B$7))</x:f>
        <x:v>12</x:v>
      </x:c>
      <x:c r="T173" s="365" t="n">
        <x:f>IF(A173="","",0.5*TAN(RADIANS(A173)))</x:f>
        <x:v>0.6368377135775307</x:v>
      </x:c>
      <x:c r="U173" s="365" t="n">
        <x:f>IF(A173="","",0.5)</x:f>
        <x:v>0.5</x:v>
      </x:c>
      <x:c r="V173" s="365" t="n">
        <x:f>IF(A173="","",SQRT(2))</x:f>
        <x:v>1.4142135623730951</x:v>
      </x:c>
      <x:c r="W173" s="365" t="n">
        <x:f>IF(A173="","",SQRT(T173^2+U173^2))</x:f>
        <x:v>0.8096680019826997</x:v>
      </x:c>
      <x:c r="X173" s="365" t="n">
        <x:f>IF(A173="","",SQRT(T173^2+2*U173^2))</x:f>
        <x:v>0.9516103579904209</x:v>
      </x:c>
      <x:c r="Y173" s="127"/>
      <x:c r="Z173" s="127"/>
      <x:c r="AA173" s="127"/>
      <x:c r="AB173" s="127"/>
      <x:c r="AC173" s="127"/>
      <x:c r="AD173" s="127"/>
      <x:c r="AE173" s="127"/>
      <x:c r="AF173" s="127"/>
      <x:c r="AG173" s="127"/>
      <x:c r="AH173" s="127"/>
      <x:c r="AI173" s="127"/>
      <x:c r="AJ173" s="127"/>
      <x:c r="AK173" s="127"/>
      <x:c r="AL173" s="127"/>
    </x:row>
    <x:row r="174">
      <x:c r="A174" s="367" t="n">
        <x:f>IF(A173="","",IF(A173+'00_Start'!$B$12&lt;='00_Start'!$B$11,A173+'00_Start'!$B$12,""))</x:f>
        <x:v>51.8640000000004</x:v>
      </x:c>
      <x:c r="B174" s="367" t="n">
        <x:f>IF(A174="","",2/TAN(RADIANS(A174)))</x:f>
        <x:v>1.5702305506441625</x:v>
      </x:c>
      <x:c r="C174" s="369" t="n">
        <x:f>IF($A174="","",ABS(2/T174-'02_Constants'!$D$6)/'02_Constants'!$D$6)</x:f>
        <x:v>0.00036018428429131997</x:v>
      </x:c>
      <x:c r="D174" s="369" t="n">
        <x:f>IF($A174="","",ABS(2/(T174+2*V174)-'02_Constants'!$D$7)/'02_Constants'!$D$7)</x:f>
        <x:v>0.00010586485465887433</x:v>
      </x:c>
      <x:c r="E174" s="369" t="n">
        <x:f>IF($A174="","",ABS((T174+2*V174)/2-'02_Constants'!$D$8)/'02_Constants'!$D$8)</x:f>
        <x:v>0.0003390965865817606</x:v>
      </x:c>
      <x:c r="F174" s="369" t="n">
        <x:f>IF($A174="","",ABS((T174+2*V174)/V174-'02_Constants'!$D$9)/'02_Constants'!$D$9)</x:f>
        <x:v>0.00033909658658168535</x:v>
      </x:c>
      <x:c r="G174" s="369" t="n">
        <x:f>IF($A174="","",ABS(V174-'02_Constants'!$D$10)/'02_Constants'!$D$10)</x:f>
        <x:v>0</x:v>
      </x:c>
      <x:c r="H174" s="369" t="n">
        <x:f>IF($A174="","",ABS((W174+1)/W174-'02_Constants'!$D$11)/'02_Constants'!$D$11)</x:f>
        <x:v>0.00045060310149867746</x:v>
      </x:c>
      <x:c r="I174" s="369" t="n">
        <x:f>IF($A174="","",ABS((U174+2*V174)/(W174+1)-'02_Constants'!$D$12)/'02_Constants'!$D$12)</x:f>
        <x:v>0.000026382737735902098</x:v>
      </x:c>
      <x:c r="J174" s="369" t="n">
        <x:f>IF($A174="","",ABS(X174/U174-'02_Constants'!$D$13)/'02_Constants'!$D$13)</x:f>
        <x:v>0.0005653819205468288</x:v>
      </x:c>
      <x:c r="K174" s="369" t="n">
        <x:f>IF($A174="","",ABS(W174/(W174+U174)-'02_Constants'!$D$14)/'02_Constants'!$D$14)</x:f>
        <x:v>0.000311456060091489</x:v>
      </x:c>
      <x:c r="L174" s="369" t="n">
        <x:f>IF($A174="","",ABS(W174/U174-'02_Constants'!$D$15)/'02_Constants'!$D$15)</x:f>
        <x:v>0.0008158136777619466</x:v>
      </x:c>
      <x:c r="M174" s="369" t="n">
        <x:f>IF($A174="","",ABS(2*A174/(90-A174)-'02_Constants'!$D$16)/'02_Constants'!$D$16)</x:f>
        <x:v>0.0006135586803039596</x:v>
      </x:c>
      <x:c r="N174" s="369" t="n">
        <x:f>IF($A174="","",ABS(2*A174/(90-A174)-1-'02_Constants'!$D$17)/'02_Constants'!$D$17)</x:f>
        <x:v>0.0009706355405383479</x:v>
      </x:c>
      <x:c r="O174" s="369" t="n">
        <x:f>IF(A174="","",AVERAGE(C174:N174))</x:f>
        <x:v>0.0004081728358825659</x:v>
      </x:c>
      <x:c r="P174" s="369" t="n">
        <x:f>IF(A174="","",SUMPRODUCT(C174:N174,'03_12_Errors'!$P$4:$AA$4)/SUM('03_12_Errors'!$P$4:$AA$4))</x:f>
        <x:v>0.0004218927236755582</x:v>
      </x:c>
      <x:c r="Q174" s="369" t="n">
        <x:f>IF(A174="","",SQRT(SUMSQ(C174:N174)/12))</x:f>
        <x:v>0.0004979502516233199</x:v>
      </x:c>
      <x:c r="R174" s="369" t="n">
        <x:f>IF(A174="","",MAX(C174:N174))</x:f>
        <x:v>0.0009706355405383479</x:v>
      </x:c>
      <x:c r="S174" s="390" t="n">
        <x:f>IF(A174="","",COUNTIF(C174:N174,"&lt;="&amp;'00_Start'!$B$7))</x:f>
        <x:v>12</x:v>
      </x:c>
      <x:c r="T174" s="365" t="n">
        <x:f>IF(A174="","",0.5*TAN(RADIANS(A174)))</x:f>
        <x:v>0.6368491554248296</x:v>
      </x:c>
      <x:c r="U174" s="365" t="n">
        <x:f>IF(A174="","",0.5)</x:f>
        <x:v>0.5</x:v>
      </x:c>
      <x:c r="V174" s="365" t="n">
        <x:f>IF(A174="","",SQRT(2))</x:f>
        <x:v>1.4142135623730951</x:v>
      </x:c>
      <x:c r="W174" s="365" t="n">
        <x:f>IF(A174="","",SQRT(T174^2+U174^2))</x:f>
        <x:v>0.8096770015045004</x:v>
      </x:c>
      <x:c r="X174" s="365" t="n">
        <x:f>IF(A174="","",SQRT(T174^2+2*U174^2))</x:f>
        <x:v>0.9516180151538319</x:v>
      </x:c>
      <x:c r="Y174" s="127"/>
      <x:c r="Z174" s="127"/>
      <x:c r="AA174" s="127"/>
      <x:c r="AB174" s="127"/>
      <x:c r="AC174" s="127"/>
      <x:c r="AD174" s="127"/>
      <x:c r="AE174" s="127"/>
      <x:c r="AF174" s="127"/>
      <x:c r="AG174" s="127"/>
      <x:c r="AH174" s="127"/>
      <x:c r="AI174" s="127"/>
      <x:c r="AJ174" s="127"/>
      <x:c r="AK174" s="127"/>
      <x:c r="AL174" s="127"/>
    </x:row>
    <x:row r="175">
      <x:c r="A175" s="367" t="n">
        <x:f>IF(A174="","",IF(A174+'00_Start'!$B$12&lt;='00_Start'!$B$11,A174+'00_Start'!$B$12,""))</x:f>
        <x:v>51.864500000000405</x:v>
      </x:c>
      <x:c r="B175" s="367" t="n">
        <x:f>IF(A175="","",2/TAN(RADIANS(A175)))</x:f>
        <x:v>1.570202339230779</x:v>
      </x:c>
      <x:c r="C175" s="369" t="n">
        <x:f>IF($A175="","",ABS(2/T175-'02_Constants'!$D$6)/'02_Constants'!$D$6)</x:f>
        <x:v>0.00037814422785775856</x:v>
      </x:c>
      <x:c r="D175" s="369" t="n">
        <x:f>IF($A175="","",ABS(2/(T175+2*V175)-'02_Constants'!$D$7)/'02_Constants'!$D$7)</x:f>
        <x:v>0.00010916642476125538</x:v>
      </x:c>
      <x:c r="E175" s="369" t="n">
        <x:f>IF($A175="","",ABS((T175+2*V175)/2-'02_Constants'!$D$8)/'02_Constants'!$D$8)</x:f>
        <x:v>0.00034239963681746303</x:v>
      </x:c>
      <x:c r="F175" s="369" t="n">
        <x:f>IF($A175="","",ABS((T175+2*V175)/V175-'02_Constants'!$D$9)/'02_Constants'!$D$9)</x:f>
        <x:v>0.00034239963681739847</x:v>
      </x:c>
      <x:c r="G175" s="369" t="n">
        <x:f>IF($A175="","",ABS(V175-'02_Constants'!$D$10)/'02_Constants'!$D$10)</x:f>
        <x:v>0</x:v>
      </x:c>
      <x:c r="H175" s="369" t="n">
        <x:f>IF($A175="","",ABS((W175+1)/W175-'02_Constants'!$D$11)/'02_Constants'!$D$11)</x:f>
        <x:v>0.00045674239826041466</x:v>
      </x:c>
      <x:c r="I175" s="369" t="n">
        <x:f>IF($A175="","",ABS((U175+2*V175)/(W175+1)-'02_Constants'!$D$12)/'02_Constants'!$D$12)</x:f>
        <x:v>0.00003135572535934345</x:v>
      </x:c>
      <x:c r="J175" s="369" t="n">
        <x:f>IF($A175="","",ABS(X175/U175-'02_Constants'!$D$13)/'02_Constants'!$D$13)</x:f>
        <x:v>0.0005734331961982971</x:v>
      </x:c>
      <x:c r="K175" s="369" t="n">
        <x:f>IF($A175="","",ABS(W175/(W175+U175)-'02_Constants'!$D$14)/'02_Constants'!$D$14)</x:f>
        <x:v>0.0003157008707309476</x:v>
      </x:c>
      <x:c r="L175" s="369" t="n">
        <x:f>IF($A175="","",ABS(W175/U175-'02_Constants'!$D$15)/'02_Constants'!$D$15)</x:f>
        <x:v>0.0008269380219820121</x:v>
      </x:c>
      <x:c r="M175" s="369" t="n">
        <x:f>IF($A175="","",ABS(2*A175/(90-A175)-'02_Constants'!$D$16)/'02_Constants'!$D$16)</x:f>
        <x:v>0.000636324507958278</x:v>
      </x:c>
      <x:c r="N175" s="369" t="n">
        <x:f>IF($A175="","",ABS(2*A175/(90-A175)-1-'02_Constants'!$D$17)/'02_Constants'!$D$17)</x:f>
        <x:v>0.0010066505496000812</x:v>
      </x:c>
      <x:c r="O175" s="369" t="n">
        <x:f>IF(A175="","",AVERAGE(C175:N175))</x:f>
        <x:v>0.0004182712663619375</x:v>
      </x:c>
      <x:c r="P175" s="369" t="n">
        <x:f>IF(A175="","",SUMPRODUCT(C175:N175,'03_12_Errors'!$P$4:$AA$4)/SUM('03_12_Errors'!$P$4:$AA$4))</x:f>
        <x:v>0.000433700501330735</x:v>
      </x:c>
      <x:c r="Q175" s="369" t="n">
        <x:f>IF(A175="","",SQRT(SUMSQ(C175:N175)/12))</x:f>
        <x:v>0.0005106821874336886</x:v>
      </x:c>
      <x:c r="R175" s="369" t="n">
        <x:f>IF(A175="","",MAX(C175:N175))</x:f>
        <x:v>0.0010066505496000812</x:v>
      </x:c>
      <x:c r="S175" s="390" t="n">
        <x:f>IF(A175="","",COUNTIF(C175:N175,"&lt;="&amp;'00_Start'!$B$7))</x:f>
        <x:v>11</x:v>
      </x:c>
      <x:c r="T175" s="365" t="n">
        <x:f>IF(A175="","",0.5*TAN(RADIANS(A175)))</x:f>
        <x:v>0.636860597526486</x:v>
      </x:c>
      <x:c r="U175" s="365" t="n">
        <x:f>IF(A175="","",0.5)</x:f>
        <x:v>0.5</x:v>
      </x:c>
      <x:c r="V175" s="365" t="n">
        <x:f>IF(A175="","",SQRT(2))</x:f>
        <x:v>1.4142135623730951</x:v>
      </x:c>
      <x:c r="W175" s="365" t="n">
        <x:f>IF(A175="","",SQRT(T175^2+U175^2))</x:f>
        <x:v>0.8096860012880257</x:v>
      </x:c>
      <x:c r="X175" s="365" t="n">
        <x:f>IF(A175="","",SQRT(T175^2+2*U175^2))</x:f>
        <x:v>0.9516256725634259</x:v>
      </x:c>
      <x:c r="Y175" s="127"/>
      <x:c r="Z175" s="127"/>
      <x:c r="AA175" s="127"/>
      <x:c r="AB175" s="127"/>
      <x:c r="AC175" s="127"/>
      <x:c r="AD175" s="127"/>
      <x:c r="AE175" s="127"/>
      <x:c r="AF175" s="127"/>
      <x:c r="AG175" s="127"/>
      <x:c r="AH175" s="127"/>
      <x:c r="AI175" s="127"/>
      <x:c r="AJ175" s="127"/>
      <x:c r="AK175" s="127"/>
      <x:c r="AL175" s="127"/>
    </x:row>
    <x:row r="176">
      <x:c r="A176" s="367" t="n">
        <x:f>IF(A175="","",IF(A175+'00_Start'!$B$12&lt;='00_Start'!$B$11,A175+'00_Start'!$B$12,""))</x:f>
        <x:v>51.86500000000041</x:v>
      </x:c>
      <x:c r="B176" s="367" t="n">
        <x:f>IF(A176="","",2/TAN(RADIANS(A176)))</x:f>
        <x:v>1.5701741282039627</x:v>
      </x:c>
      <x:c r="C176" s="369" t="n">
        <x:f>IF($A176="","",ABS(2/T176-'02_Constants'!$D$6)/'02_Constants'!$D$6)</x:f>
        <x:v>0.00039610392532771845</x:v>
      </x:c>
      <x:c r="D176" s="369" t="n">
        <x:f>IF($A176="","",ABS(2/(T176+2*V176)-'02_Constants'!$D$7)/'02_Constants'!$D$7)</x:f>
        <x:v>0.0001124680464566391</x:v>
      </x:c>
      <x:c r="E176" s="369" t="n">
        <x:f>IF($A176="","",ABS((T176+2*V176)/2-'02_Constants'!$D$8)/'02_Constants'!$D$8)</x:f>
        <x:v>0.0003457027604829059</x:v>
      </x:c>
      <x:c r="F176" s="369" t="n">
        <x:f>IF($A176="","",ABS((T176+2*V176)/V176-'02_Constants'!$D$9)/'02_Constants'!$D$9)</x:f>
        <x:v>0.00034570276048287646</x:v>
      </x:c>
      <x:c r="G176" s="369" t="n">
        <x:f>IF($A176="","",ABS(V176-'02_Constants'!$D$10)/'02_Constants'!$D$10)</x:f>
        <x:v>0</x:v>
      </x:c>
      <x:c r="H176" s="369" t="n">
        <x:f>IF($A176="","",ABS((W176+1)/W176-'02_Constants'!$D$11)/'02_Constants'!$D$11)</x:f>
        <x:v>0.0004628817370846217</x:v>
      </x:c>
      <x:c r="I176" s="369" t="n">
        <x:f>IF($A176="","",ABS((U176+2*V176)/(W176+1)-'02_Constants'!$D$12)/'02_Constants'!$D$12)</x:f>
        <x:v>0.000036328808144305356</x:v>
      </x:c>
      <x:c r="J176" s="369" t="n">
        <x:f>IF($A176="","",ABS(X176/U176-'02_Constants'!$D$13)/'02_Constants'!$D$13)</x:f>
        <x:v>0.0005814847307061199</x:v>
      </x:c>
      <x:c r="K176" s="369" t="n">
        <x:f>IF($A176="","",ABS(W176/(W176+U176)-'02_Constants'!$D$14)/'02_Constants'!$D$14)</x:f>
        <x:v>0.00031994574647942957</x:v>
      </x:c>
      <x:c r="L176" s="369" t="n">
        <x:f>IF($A176="","",ABS(W176/U176-'02_Constants'!$D$15)/'02_Constants'!$D$15)</x:f>
        <x:v>0.0008380626897241517</x:v>
      </x:c>
      <x:c r="M176" s="369" t="n">
        <x:f>IF($A176="","",ABS(2*A176/(90-A176)-'02_Constants'!$D$16)/'02_Constants'!$D$16)</x:f>
        <x:v>0.000659090932592693</x:v>
      </x:c>
      <x:c r="N176" s="369" t="n">
        <x:f>IF($A176="","",ABS(2*A176/(90-A176)-1-'02_Constants'!$D$17)/'02_Constants'!$D$17)</x:f>
        <x:v>0.0010426665030704217</x:v>
      </x:c>
      <x:c r="O176" s="369" t="n">
        <x:f>IF(A176="","",AVERAGE(C176:N176))</x:f>
        <x:v>0.0004283698867126569</x:v>
      </x:c>
      <x:c r="P176" s="369" t="n">
        <x:f>IF(A176="","",SUMPRODUCT(C176:N176,'03_12_Errors'!$P$4:$AA$4)/SUM('03_12_Errors'!$P$4:$AA$4))</x:f>
        <x:v>0.0004455084603744294</x:v>
      </x:c>
      <x:c r="Q176" s="369" t="n">
        <x:f>IF(A176="","",SQRT(SUMSQ(C176:N176)/12))</x:f>
        <x:v>0.000523493123312505</x:v>
      </x:c>
      <x:c r="R176" s="369" t="n">
        <x:f>IF(A176="","",MAX(C176:N176))</x:f>
        <x:v>0.0010426665030704217</x:v>
      </x:c>
      <x:c r="S176" s="390" t="n">
        <x:f>IF(A176="","",COUNTIF(C176:N176,"&lt;="&amp;'00_Start'!$B$7))</x:f>
        <x:v>11</x:v>
      </x:c>
      <x:c r="T176" s="365" t="n">
        <x:f>IF(A176="","",0.5*TAN(RADIANS(A176)))</x:f>
        <x:v>0.6368720398825103</x:v>
      </x:c>
      <x:c r="U176" s="365" t="n">
        <x:f>IF(A176="","",0.5)</x:f>
        <x:v>0.5</x:v>
      </x:c>
      <x:c r="V176" s="365" t="n">
        <x:f>IF(A176="","",SQRT(2))</x:f>
        <x:v>1.4142135623730951</x:v>
      </x:c>
      <x:c r="W176" s="365" t="n">
        <x:f>IF(A176="","",SQRT(T176^2+U176^2))</x:f>
        <x:v>0.8096950013332859</x:v>
      </x:c>
      <x:c r="X176" s="365" t="n">
        <x:f>IF(A176="","",SQRT(T176^2+2*U176^2))</x:f>
        <x:v>0.951633330219213</x:v>
      </x:c>
      <x:c r="Y176" s="127"/>
      <x:c r="Z176" s="127"/>
      <x:c r="AA176" s="127"/>
      <x:c r="AB176" s="127"/>
      <x:c r="AC176" s="127"/>
      <x:c r="AD176" s="127"/>
      <x:c r="AE176" s="127"/>
      <x:c r="AF176" s="127"/>
      <x:c r="AG176" s="127"/>
      <x:c r="AH176" s="127"/>
      <x:c r="AI176" s="127"/>
      <x:c r="AJ176" s="127"/>
      <x:c r="AK176" s="127"/>
      <x:c r="AL176" s="127"/>
    </x:row>
    <x:row r="177">
      <x:c r="A177" s="367" t="n">
        <x:f>IF(A176="","",IF(A176+'00_Start'!$B$12&lt;='00_Start'!$B$11,A176+'00_Start'!$B$12,""))</x:f>
        <x:v>51.86550000000041</x:v>
      </x:c>
      <x:c r="B177" s="367" t="n">
        <x:f>IF(A177="","",2/TAN(RADIANS(A177)))</x:f>
        <x:v>1.570145917563701</x:v>
      </x:c>
      <x:c r="C177" s="369" t="n">
        <x:f>IF($A177="","",ABS(2/T177-'02_Constants'!$D$6)/'02_Constants'!$D$6)</x:f>
        <x:v>0.0004140633767095398</x:v>
      </x:c>
      <x:c r="D177" s="369" t="n">
        <x:f>IF($A177="","",ABS(2/(T177+2*V177)-'02_Constants'!$D$7)/'02_Constants'!$D$7)</x:f>
        <x:v>0.0001157697197469489</x:v>
      </x:c>
      <x:c r="E177" s="369" t="n">
        <x:f>IF($A177="","",ABS((T177+2*V177)/2-'02_Constants'!$D$8)/'02_Constants'!$D$8)</x:f>
        <x:v>0.0003490059575809095</x:v>
      </x:c>
      <x:c r="F177" s="369" t="n">
        <x:f>IF($A177="","",ABS((T177+2*V177)/V177-'02_Constants'!$D$9)/'02_Constants'!$D$9)</x:f>
        <x:v>0.00034900595758083884</x:v>
      </x:c>
      <x:c r="G177" s="369" t="n">
        <x:f>IF($A177="","",ABS(V177-'02_Constants'!$D$10)/'02_Constants'!$D$10)</x:f>
        <x:v>0</x:v>
      </x:c>
      <x:c r="H177" s="369" t="n">
        <x:f>IF($A177="","",ABS((W177+1)/W177-'02_Constants'!$D$11)/'02_Constants'!$D$11)</x:f>
        <x:v>0.00046902111797090146</x:v>
      </x:c>
      <x:c r="I177" s="369" t="n">
        <x:f>IF($A177="","",ABS((U177+2*V177)/(W177+1)-'02_Constants'!$D$12)/'02_Constants'!$D$12)</x:f>
        <x:v>0.00004130198609296084</x:v>
      </x:c>
      <x:c r="J177" s="369" t="n">
        <x:f>IF($A177="","",ABS(X177/U177-'02_Constants'!$D$13)/'02_Constants'!$D$13)</x:f>
        <x:v>0.0005895365240809197</x:v>
      </x:c>
      <x:c r="K177" s="369" t="n">
        <x:f>IF($A177="","",ABS(W177/(W177+U177)-'02_Constants'!$D$14)/'02_Constants'!$D$14)</x:f>
        <x:v>0.00032419068733747385</x:v>
      </x:c>
      <x:c r="L177" s="369" t="n">
        <x:f>IF($A177="","",ABS(W177/U177-'02_Constants'!$D$15)/'02_Constants'!$D$15)</x:f>
        <x:v>0.0008491876810009908</x:v>
      </x:c>
      <x:c r="M177" s="369" t="n">
        <x:f>IF($A177="","",ABS(2*A177/(90-A177)-'02_Constants'!$D$16)/'02_Constants'!$D$16)</x:f>
        <x:v>0.0006818579542304034</x:v>
      </x:c>
      <x:c r="N177" s="369" t="n">
        <x:f>IF($A177="","",ABS(2*A177/(90-A177)-1-'02_Constants'!$D$17)/'02_Constants'!$D$17)</x:f>
        <x:v>0.0010786834009860694</x:v>
      </x:c>
      <x:c r="O177" s="369" t="n">
        <x:f>IF(A177="","",AVERAGE(C177:N177))</x:f>
        <x:v>0.0004384686969431631</x:v>
      </x:c>
      <x:c r="P177" s="369" t="n">
        <x:f>IF(A177="","",SUMPRODUCT(C177:N177,'03_12_Errors'!$P$4:$AA$4)/SUM('03_12_Errors'!$P$4:$AA$4))</x:f>
        <x:v>0.0004573166008162797</x:v>
      </x:c>
      <x:c r="Q177" s="369" t="n">
        <x:f>IF(A177="","",SQRT(SUMSQ(C177:N177)/12))</x:f>
        <x:v>0.0005363774222977944</x:v>
      </x:c>
      <x:c r="R177" s="369" t="n">
        <x:f>IF(A177="","",MAX(C177:N177))</x:f>
        <x:v>0.0010786834009860694</x:v>
      </x:c>
      <x:c r="S177" s="390" t="n">
        <x:f>IF(A177="","",COUNTIF(C177:N177,"&lt;="&amp;'00_Start'!$B$7))</x:f>
        <x:v>11</x:v>
      </x:c>
      <x:c r="T177" s="365" t="n">
        <x:f>IF(A177="","",0.5*TAN(RADIANS(A177)))</x:f>
        <x:v>0.6368834824929129</x:v>
      </x:c>
      <x:c r="U177" s="365" t="n">
        <x:f>IF(A177="","",0.5)</x:f>
        <x:v>0.5</x:v>
      </x:c>
      <x:c r="V177" s="365" t="n">
        <x:f>IF(A177="","",SQRT(2))</x:f>
        <x:v>1.4142135623730951</x:v>
      </x:c>
      <x:c r="W177" s="365" t="n">
        <x:f>IF(A177="","",SQRT(T177^2+U177^2))</x:f>
        <x:v>0.8097040016402911</x:v>
      </x:c>
      <x:c r="X177" s="365" t="n">
        <x:f>IF(A177="","",SQRT(T177^2+2*U177^2))</x:f>
        <x:v>0.9516409881212035</x:v>
      </x:c>
      <x:c r="Y177" s="127"/>
      <x:c r="Z177" s="127"/>
      <x:c r="AA177" s="127"/>
      <x:c r="AB177" s="127"/>
      <x:c r="AC177" s="127"/>
      <x:c r="AD177" s="127"/>
      <x:c r="AE177" s="127"/>
      <x:c r="AF177" s="127"/>
      <x:c r="AG177" s="127"/>
      <x:c r="AH177" s="127"/>
      <x:c r="AI177" s="127"/>
      <x:c r="AJ177" s="127"/>
      <x:c r="AK177" s="127"/>
      <x:c r="AL177" s="127"/>
    </x:row>
    <x:row r="178">
      <x:c r="A178" s="367" t="n">
        <x:f>IF(A177="","",IF(A177+'00_Start'!$B$12&lt;='00_Start'!$B$11,A177+'00_Start'!$B$12,""))</x:f>
        <x:v>51.86600000000041</x:v>
      </x:c>
      <x:c r="B178" s="367" t="n">
        <x:f>IF(A178="","",2/TAN(RADIANS(A178)))</x:f>
        <x:v>1.5701177073099815</x:v>
      </x:c>
      <x:c r="C178" s="369" t="n">
        <x:f>IF($A178="","",ABS(2/T178-'02_Constants'!$D$6)/'02_Constants'!$D$6)</x:f>
        <x:v>0.00043202258201085596</x:v>
      </x:c>
      <x:c r="D178" s="369" t="n">
        <x:f>IF($A178="","",ABS(2/(T178+2*V178)-'02_Constants'!$D$7)/'02_Constants'!$D$7)</x:f>
        <x:v>0.00011907144463391588</x:v>
      </x:c>
      <x:c r="E178" s="369" t="n">
        <x:f>IF($A178="","",ABS((T178+2*V178)/2-'02_Constants'!$D$8)/'02_Constants'!$D$8)</x:f>
        <x:v>0.00035230922811467865</x:v>
      </x:c>
      <x:c r="F178" s="369" t="n">
        <x:f>IF($A178="","",ABS((T178+2*V178)/V178-'02_Constants'!$D$9)/'02_Constants'!$D$9)</x:f>
        <x:v>0.0003523092281147302</x:v>
      </x:c>
      <x:c r="G178" s="369" t="n">
        <x:f>IF($A178="","",ABS(V178-'02_Constants'!$D$10)/'02_Constants'!$D$10)</x:f>
        <x:v>0</x:v>
      </x:c>
      <x:c r="H178" s="369" t="n">
        <x:f>IF($A178="","",ABS((W178+1)/W178-'02_Constants'!$D$11)/'02_Constants'!$D$11)</x:f>
        <x:v>0.0004751605409184594</x:v>
      </x:c>
      <x:c r="I178" s="369" t="n">
        <x:f>IF($A178="","",ABS((U178+2*V178)/(W178+1)-'02_Constants'!$D$12)/'02_Constants'!$D$12)</x:f>
        <x:v>0.000046275259207603644</x:v>
      </x:c>
      <x:c r="J178" s="369" t="n">
        <x:f>IF($A178="","",ABS(X178/U178-'02_Constants'!$D$13)/'02_Constants'!$D$13)</x:f>
        <x:v>0.0005975885763333192</x:v>
      </x:c>
      <x:c r="K178" s="369" t="n">
        <x:f>IF($A178="","",ABS(W178/(W178+U178)-'02_Constants'!$D$14)/'02_Constants'!$D$14)</x:f>
        <x:v>0.0003284356933059786</x:v>
      </x:c>
      <x:c r="L178" s="369" t="n">
        <x:f>IF($A178="","",ABS(W178/U178-'02_Constants'!$D$15)/'02_Constants'!$D$15)</x:f>
        <x:v>0.0008603129958250172</x:v>
      </x:c>
      <x:c r="M178" s="369" t="n">
        <x:f>IF($A178="","",ABS(2*A178/(90-A178)-'02_Constants'!$D$16)/'02_Constants'!$D$16)</x:f>
        <x:v>0.0007046255728947711</x:v>
      </x:c>
      <x:c r="N178" s="369" t="n">
        <x:f>IF($A178="","",ABS(2*A178/(90-A178)-1-'02_Constants'!$D$17)/'02_Constants'!$D$17)</x:f>
        <x:v>0.0011147012433839825</x:v>
      </x:c>
      <x:c r="O178" s="369" t="n">
        <x:f>IF(A178="","",AVERAGE(C178:N178))</x:f>
        <x:v>0.0004485676970619427</x:v>
      </x:c>
      <x:c r="P178" s="369" t="n">
        <x:f>IF(A178="","",SUMPRODUCT(C178:N178,'03_12_Errors'!$P$4:$AA$4)/SUM('03_12_Errors'!$P$4:$AA$4))</x:f>
        <x:v>0.0004691249226659027</x:v>
      </x:c>
      <x:c r="Q178" s="369" t="n">
        <x:f>IF(A178="","",SQRT(SUMSQ(C178:N178)/12))</x:f>
        <x:v>0.0005493299453235964</x:v>
      </x:c>
      <x:c r="R178" s="369" t="n">
        <x:f>IF(A178="","",MAX(C178:N178))</x:f>
        <x:v>0.0011147012433839825</x:v>
      </x:c>
      <x:c r="S178" s="390" t="n">
        <x:f>IF(A178="","",COUNTIF(C178:N178,"&lt;="&amp;'00_Start'!$B$7))</x:f>
        <x:v>11</x:v>
      </x:c>
      <x:c r="T178" s="365" t="n">
        <x:f>IF(A178="","",0.5*TAN(RADIANS(A178)))</x:f>
        <x:v>0.636894925357704</x:v>
      </x:c>
      <x:c r="U178" s="365" t="n">
        <x:f>IF(A178="","",0.5)</x:f>
        <x:v>0.5</x:v>
      </x:c>
      <x:c r="V178" s="365" t="n">
        <x:f>IF(A178="","",SQRT(2))</x:f>
        <x:v>1.4142135623730951</x:v>
      </x:c>
      <x:c r="W178" s="365" t="n">
        <x:f>IF(A178="","",SQRT(T178^2+U178^2))</x:f>
        <x:v>0.8097130022090515</x:v>
      </x:c>
      <x:c r="X178" s="365" t="n">
        <x:f>IF(A178="","",SQRT(T178^2+2*U178^2))</x:f>
        <x:v>0.9516486462694073</x:v>
      </x:c>
      <x:c r="Y178" s="127"/>
      <x:c r="Z178" s="127"/>
      <x:c r="AA178" s="127"/>
      <x:c r="AB178" s="127"/>
      <x:c r="AC178" s="127"/>
      <x:c r="AD178" s="127"/>
      <x:c r="AE178" s="127"/>
      <x:c r="AF178" s="127"/>
      <x:c r="AG178" s="127"/>
      <x:c r="AH178" s="127"/>
      <x:c r="AI178" s="127"/>
      <x:c r="AJ178" s="127"/>
      <x:c r="AK178" s="127"/>
      <x:c r="AL178" s="127"/>
    </x:row>
    <x:row r="179">
      <x:c r="A179" s="367" t="n">
        <x:f>IF(A178="","",IF(A178+'00_Start'!$B$12&lt;='00_Start'!$B$11,A178+'00_Start'!$B$12,""))</x:f>
        <x:v>51.866500000000414</x:v>
      </x:c>
      <x:c r="B179" s="367" t="n">
        <x:f>IF(A179="","",2/TAN(RADIANS(A179)))</x:f>
        <x:v>1.5700894974427928</x:v>
      </x:c>
      <x:c r="C179" s="369" t="n">
        <x:f>IF($A179="","",ABS(2/T179-'02_Constants'!$D$6)/'02_Constants'!$D$6)</x:f>
        <x:v>0.0004499815412390175</x:v>
      </x:c>
      <x:c r="D179" s="369" t="n">
        <x:f>IF($A179="","",ABS(2/(T179+2*V179)-'02_Constants'!$D$7)/'02_Constants'!$D$7)</x:f>
        <x:v>0.0001223732211188864</x:v>
      </x:c>
      <x:c r="E179" s="369" t="n">
        <x:f>IF($A179="","",ABS((T179+2*V179)/2-'02_Constants'!$D$8)/'02_Constants'!$D$8)</x:f>
        <x:v>0.0003556125720869056</x:v>
      </x:c>
      <x:c r="F179" s="369" t="n">
        <x:f>IF($A179="","",ABS((T179+2*V179)/V179-'02_Constants'!$D$9)/'02_Constants'!$D$9)</x:f>
        <x:v>0.0003556125720869075</x:v>
      </x:c>
      <x:c r="G179" s="369" t="n">
        <x:f>IF($A179="","",ABS(V179-'02_Constants'!$D$10)/'02_Constants'!$D$10)</x:f>
        <x:v>0</x:v>
      </x:c>
      <x:c r="H179" s="369" t="n">
        <x:f>IF($A179="","",ABS((W179+1)/W179-'02_Constants'!$D$11)/'02_Constants'!$D$11)</x:f>
        <x:v>0.0004813000059266999</x:v>
      </x:c>
      <x:c r="I179" s="369" t="n">
        <x:f>IF($A179="","",ABS((U179+2*V179)/(W179+1)-'02_Constants'!$D$12)/'02_Constants'!$D$12)</x:f>
        <x:v>0.00005124862748992389</x:v>
      </x:c>
      <x:c r="J179" s="369" t="n">
        <x:f>IF($A179="","",ABS(X179/U179-'02_Constants'!$D$13)/'02_Constants'!$D$13)</x:f>
        <x:v>0.0006056408874735909</x:v>
      </x:c>
      <x:c r="K179" s="369" t="n">
        <x:f>IF($A179="","",ABS(W179/(W179+U179)-'02_Constants'!$D$14)/'02_Constants'!$D$14)</x:f>
        <x:v>0.00033268076438584213</x:v>
      </x:c>
      <x:c r="L179" s="369" t="n">
        <x:f>IF($A179="","",ABS(W179/U179-'02_Constants'!$D$15)/'02_Constants'!$D$15)</x:f>
        <x:v>0.0008714386342083073</x:v>
      </x:c>
      <x:c r="M179" s="369" t="n">
        <x:f>IF($A179="","",ABS(2*A179/(90-A179)-'02_Constants'!$D$16)/'02_Constants'!$D$16)</x:f>
        <x:v>0.0007273937886096484</x:v>
      </x:c>
      <x:c r="N179" s="369" t="n">
        <x:f>IF($A179="","",ABS(2*A179/(90-A179)-1-'02_Constants'!$D$17)/'02_Constants'!$D$17)</x:f>
        <x:v>0.0011507200303018945</x:v>
      </x:c>
      <x:c r="O179" s="369" t="n">
        <x:f>IF(A179="","",AVERAGE(C179:N179))</x:f>
        <x:v>0.000458666887077302</x:v>
      </x:c>
      <x:c r="P179" s="369" t="n">
        <x:f>IF(A179="","",SUMPRODUCT(C179:N179,'03_12_Errors'!$P$4:$AA$4)/SUM('03_12_Errors'!$P$4:$AA$4))</x:f>
        <x:v>0.00048093342593269234</x:v>
      </x:c>
      <x:c r="Q179" s="369" t="n">
        <x:f>IF(A179="","",SQRT(SUMSQ(C179:N179)/12))</x:f>
        <x:v>0.0005623460006740293</x:v>
      </x:c>
      <x:c r="R179" s="369" t="n">
        <x:f>IF(A179="","",MAX(C179:N179))</x:f>
        <x:v>0.0011507200303018945</x:v>
      </x:c>
      <x:c r="S179" s="390" t="n">
        <x:f>IF(A179="","",COUNTIF(C179:N179,"&lt;="&amp;'00_Start'!$B$7))</x:f>
        <x:v>11</x:v>
      </x:c>
      <x:c r="T179" s="365" t="n">
        <x:f>IF(A179="","",0.5*TAN(RADIANS(A179)))</x:f>
        <x:v>0.6369063684768935</x:v>
      </x:c>
      <x:c r="U179" s="365" t="n">
        <x:f>IF(A179="","",0.5)</x:f>
        <x:v>0.5</x:v>
      </x:c>
      <x:c r="V179" s="365" t="n">
        <x:f>IF(A179="","",SQRT(2))</x:f>
        <x:v>1.4142135623730951</x:v>
      </x:c>
      <x:c r="W179" s="365" t="n">
        <x:f>IF(A179="","",SQRT(T179^2+U179^2))</x:f>
        <x:v>0.8097220030395769</x:v>
      </x:c>
      <x:c r="X179" s="365" t="n">
        <x:f>IF(A179="","",SQRT(T179^2+2*U179^2))</x:f>
        <x:v>0.9516563046638342</x:v>
      </x:c>
      <x:c r="Y179" s="127"/>
      <x:c r="Z179" s="127"/>
      <x:c r="AA179" s="127"/>
      <x:c r="AB179" s="127"/>
      <x:c r="AC179" s="127"/>
      <x:c r="AD179" s="127"/>
      <x:c r="AE179" s="127"/>
      <x:c r="AF179" s="127"/>
      <x:c r="AG179" s="127"/>
      <x:c r="AH179" s="127"/>
      <x:c r="AI179" s="127"/>
      <x:c r="AJ179" s="127"/>
      <x:c r="AK179" s="127"/>
      <x:c r="AL179" s="127"/>
    </x:row>
    <x:row r="180">
      <x:c r="A180" s="367" t="n">
        <x:f>IF(A179="","",IF(A179+'00_Start'!$B$12&lt;='00_Start'!$B$11,A179+'00_Start'!$B$12,""))</x:f>
        <x:v>51.86700000000042</x:v>
      </x:c>
      <x:c r="B180" s="367" t="n">
        <x:f>IF(A180="","",2/TAN(RADIANS(A180)))</x:f>
        <x:v>1.5700612879621219</x:v>
      </x:c>
      <x:c r="C180" s="369" t="n">
        <x:f>IF($A180="","",ABS(2/T180-'02_Constants'!$D$6)/'02_Constants'!$D$6)</x:f>
        <x:v>0.0004679402544023646</x:v>
      </x:c>
      <x:c r="D180" s="369" t="n">
        <x:f>IF($A180="","",ABS(2/(T180+2*V180)-'02_Constants'!$D$7)/'02_Constants'!$D$7)</x:f>
        <x:v>0.0001256750492039762</x:v>
      </x:c>
      <x:c r="E180" s="369" t="n">
        <x:f>IF($A180="","",ABS((T180+2*V180)/2-'02_Constants'!$D$8)/'02_Constants'!$D$8)</x:f>
        <x:v>0.0003589159895006671</x:v>
      </x:c>
      <x:c r="F180" s="369" t="n">
        <x:f>IF($A180="","",ABS((T180+2*V180)/V180-'02_Constants'!$D$9)/'02_Constants'!$D$9)</x:f>
        <x:v>0.00035891598950063406</x:v>
      </x:c>
      <x:c r="G180" s="369" t="n">
        <x:f>IF($A180="","",ABS(V180-'02_Constants'!$D$10)/'02_Constants'!$D$10)</x:f>
        <x:v>0</x:v>
      </x:c>
      <x:c r="H180" s="369" t="n">
        <x:f>IF($A180="","",ABS((W180+1)/W180-'02_Constants'!$D$11)/'02_Constants'!$D$11)</x:f>
        <x:v>0.00048743951299542413</x:v>
      </x:c>
      <x:c r="I180" s="369" t="n">
        <x:f>IF($A180="","",ABS((U180+2*V180)/(W180+1)-'02_Constants'!$D$12)/'02_Constants'!$D$12)</x:f>
        <x:v>0.000056222090941973866</x:v>
      </x:c>
      <x:c r="J180" s="369" t="n">
        <x:f>IF($A180="","",ABS(X180/U180-'02_Constants'!$D$13)/'02_Constants'!$D$13)</x:f>
        <x:v>0.0006136934575127077</x:v>
      </x:c>
      <x:c r="K180" s="369" t="n">
        <x:f>IF($A180="","",ABS(W180/(W180+U180)-'02_Constants'!$D$14)/'02_Constants'!$D$14)</x:f>
        <x:v>0.0003369259005777829</x:v>
      </x:c>
      <x:c r="L180" s="369" t="n">
        <x:f>IF($A180="","",ABS(W180/U180-'02_Constants'!$D$15)/'02_Constants'!$D$15)</x:f>
        <x:v>0.0008825645961637609</x:v>
      </x:c>
      <x:c r="M180" s="369" t="n">
        <x:f>IF($A180="","",ABS(2*A180/(90-A180)-'02_Constants'!$D$16)/'02_Constants'!$D$16)</x:f>
        <x:v>0.0007501626013983974</x:v>
      </x:c>
      <x:c r="N180" s="369" t="n">
        <x:f>IF($A180="","",ABS(2*A180/(90-A180)-1-'02_Constants'!$D$17)/'02_Constants'!$D$17)</x:f>
        <x:v>0.0011867397617767639</x:v>
      </x:c>
      <x:c r="O180" s="369" t="n">
        <x:f>IF(A180="","",AVERAGE(C180:N180))</x:f>
        <x:v>0.0004687662669978711</x:v>
      </x:c>
      <x:c r="P180" s="369" t="n">
        <x:f>IF(A180="","",SUMPRODUCT(C180:N180,'03_12_Errors'!$P$4:$AA$4)/SUM('03_12_Errors'!$P$4:$AA$4))</x:f>
        <x:v>0.0004927421106264516</x:v>
      </x:c>
      <x:c r="Q180" s="369" t="n">
        <x:f>IF(A180="","",SQRT(SUMSQ(C180:N180)/12))</x:f>
        <x:v>0.0005754212990246562</x:v>
      </x:c>
      <x:c r="R180" s="369" t="n">
        <x:f>IF(A180="","",MAX(C180:N180))</x:f>
        <x:v>0.0011867397617767639</x:v>
      </x:c>
      <x:c r="S180" s="390" t="n">
        <x:f>IF(A180="","",COUNTIF(C180:N180,"&lt;="&amp;'00_Start'!$B$7))</x:f>
        <x:v>11</x:v>
      </x:c>
      <x:c r="T180" s="365" t="n">
        <x:f>IF(A180="","",0.5*TAN(RADIANS(A180)))</x:f>
        <x:v>0.6369178118504921</x:v>
      </x:c>
      <x:c r="U180" s="365" t="n">
        <x:f>IF(A180="","",0.5)</x:f>
        <x:v>0.5</x:v>
      </x:c>
      <x:c r="V180" s="365" t="n">
        <x:f>IF(A180="","",SQRT(2))</x:f>
        <x:v>1.4142135623730951</x:v>
      </x:c>
      <x:c r="W180" s="365" t="n">
        <x:f>IF(A180="","",SQRT(T180^2+U180^2))</x:f>
        <x:v>0.8097310041318776</x:v>
      </x:c>
      <x:c r="X180" s="365" t="n">
        <x:f>IF(A180="","",SQRT(T180^2+2*U180^2))</x:f>
        <x:v>0.9516639633044948</x:v>
      </x:c>
      <x:c r="Y180" s="127"/>
      <x:c r="Z180" s="127"/>
      <x:c r="AA180" s="127"/>
      <x:c r="AB180" s="127"/>
      <x:c r="AC180" s="127"/>
      <x:c r="AD180" s="127"/>
      <x:c r="AE180" s="127"/>
      <x:c r="AF180" s="127"/>
      <x:c r="AG180" s="127"/>
      <x:c r="AH180" s="127"/>
      <x:c r="AI180" s="127"/>
      <x:c r="AJ180" s="127"/>
      <x:c r="AK180" s="127"/>
      <x:c r="AL180" s="127"/>
    </x:row>
    <x:row r="181">
      <x:c r="A181" s="367" t="n">
        <x:f>IF(A180="","",IF(A180+'00_Start'!$B$12&lt;='00_Start'!$B$11,A180+'00_Start'!$B$12,""))</x:f>
        <x:v>51.86750000000042</x:v>
      </x:c>
      <x:c r="B181" s="367" t="n">
        <x:f>IF(A181="","",2/TAN(RADIANS(A181)))</x:f>
        <x:v>1.570033078867957</x:v>
      </x:c>
      <x:c r="C181" s="369" t="n">
        <x:f>IF($A181="","",ABS(2/T181-'02_Constants'!$D$6)/'02_Constants'!$D$6)</x:f>
        <x:v>0.0004858987215082478</x:v>
      </x:c>
      <x:c r="D181" s="369" t="n">
        <x:f>IF($A181="","",ABS(2/(T181+2*V181)-'02_Constants'!$D$7)/'02_Constants'!$D$7)</x:f>
        <x:v>0.00012897692889053173</x:v>
      </x:c>
      <x:c r="E181" s="369" t="n">
        <x:f>IF($A181="","",ABS((T181+2*V181)/2-'02_Constants'!$D$8)/'02_Constants'!$D$8)</x:f>
        <x:v>0.00036221948035878345</x:v>
      </x:c>
      <x:c r="F181" s="369" t="n">
        <x:f>IF($A181="","",ABS((T181+2*V181)/V181-'02_Constants'!$D$9)/'02_Constants'!$D$9)</x:f>
        <x:v>0.0003622194803588107</x:v>
      </x:c>
      <x:c r="G181" s="369" t="n">
        <x:f>IF($A181="","",ABS(V181-'02_Constants'!$D$10)/'02_Constants'!$D$10)</x:f>
        <x:v>0</x:v>
      </x:c>
      <x:c r="H181" s="369" t="n">
        <x:f>IF($A181="","",ABS((W181+1)/W181-'02_Constants'!$D$11)/'02_Constants'!$D$11)</x:f>
        <x:v>0.0004935790621242351</x:v>
      </x:c>
      <x:c r="I181" s="369" t="n">
        <x:f>IF($A181="","",ABS((U181+2*V181)/(W181+1)-'02_Constants'!$D$12)/'02_Constants'!$D$12)</x:f>
        <x:v>0.00006119564956580587</x:v>
      </x:c>
      <x:c r="J181" s="369" t="n">
        <x:f>IF($A181="","",ABS(X181/U181-'02_Constants'!$D$13)/'02_Constants'!$D$13)</x:f>
        <x:v>0.0006217462864610588</x:v>
      </x:c>
      <x:c r="K181" s="369" t="n">
        <x:f>IF($A181="","",ABS(W181/(W181+U181)-'02_Constants'!$D$14)/'02_Constants'!$D$14)</x:f>
        <x:v>0.0003411711018828787</x:v>
      </x:c>
      <x:c r="L181" s="369" t="n">
        <x:f>IF($A181="","",ABS(W181/U181-'02_Constants'!$D$15)/'02_Constants'!$D$15)</x:f>
        <x:v>0.0008936908817037287</x:v>
      </x:c>
      <x:c r="M181" s="369" t="n">
        <x:f>IF($A181="","",ABS(2*A181/(90-A181)-'02_Constants'!$D$16)/'02_Constants'!$D$16)</x:f>
        <x:v>0.0007729320112843803</x:v>
      </x:c>
      <x:c r="N181" s="369" t="n">
        <x:f>IF($A181="","",ABS(2*A181/(90-A181)-1-'02_Constants'!$D$17)/'02_Constants'!$D$17)</x:f>
        <x:v>0.001222760437845549</x:v>
      </x:c>
      <x:c r="O181" s="369" t="n">
        <x:f>IF(A181="","",AVERAGE(C181:N181))</x:f>
        <x:v>0.0004788658368320008</x:v>
      </x:c>
      <x:c r="P181" s="369" t="n">
        <x:f>IF(A181="","",SUMPRODUCT(C181:N181,'03_12_Errors'!$P$4:$AA$4)/SUM('03_12_Errors'!$P$4:$AA$4))</x:f>
        <x:v>0.0005045509767566222</x:v>
      </x:c>
      <x:c r="Q181" s="369" t="n">
        <x:f>IF(A181="","",SQRT(SUMSQ(C181:N181)/12))</x:f>
        <x:v>0.0005885519134354417</x:v>
      </x:c>
      <x:c r="R181" s="369" t="n">
        <x:f>IF(A181="","",MAX(C181:N181))</x:f>
        <x:v>0.001222760437845549</x:v>
      </x:c>
      <x:c r="S181" s="390" t="n">
        <x:f>IF(A181="","",COUNTIF(C181:N181,"&lt;="&amp;'00_Start'!$B$7))</x:f>
        <x:v>11</x:v>
      </x:c>
      <x:c r="T181" s="365" t="n">
        <x:f>IF(A181="","",0.5*TAN(RADIANS(A181)))</x:f>
        <x:v>0.6369292554785095</x:v>
      </x:c>
      <x:c r="U181" s="365" t="n">
        <x:f>IF(A181="","",0.5)</x:f>
        <x:v>0.5</x:v>
      </x:c>
      <x:c r="V181" s="365" t="n">
        <x:f>IF(A181="","",SQRT(2))</x:f>
        <x:v>1.4142135623730951</x:v>
      </x:c>
      <x:c r="W181" s="365" t="n">
        <x:f>IF(A181="","",SQRT(T181^2+U181^2))</x:f>
        <x:v>0.8097400054859637</x:v>
      </x:c>
      <x:c r="X181" s="365" t="n">
        <x:f>IF(A181="","",SQRT(T181^2+2*U181^2))</x:f>
        <x:v>0.9516716221913988</x:v>
      </x:c>
      <x:c r="Y181" s="127"/>
      <x:c r="Z181" s="127"/>
      <x:c r="AA181" s="127"/>
      <x:c r="AB181" s="127"/>
      <x:c r="AC181" s="127"/>
      <x:c r="AD181" s="127"/>
      <x:c r="AE181" s="127"/>
      <x:c r="AF181" s="127"/>
      <x:c r="AG181" s="127"/>
      <x:c r="AH181" s="127"/>
      <x:c r="AI181" s="127"/>
      <x:c r="AJ181" s="127"/>
      <x:c r="AK181" s="127"/>
      <x:c r="AL181" s="127"/>
    </x:row>
    <x:row r="182">
      <x:c r="A182" s="367" t="n">
        <x:f>IF(A181="","",IF(A181+'00_Start'!$B$12&lt;='00_Start'!$B$11,A181+'00_Start'!$B$12,""))</x:f>
        <x:v>51.86800000000042</x:v>
      </x:c>
      <x:c r="B182" s="367" t="n">
        <x:f>IF(A182="","",2/TAN(RADIANS(A182)))</x:f>
        <x:v>1.5700048701602858</x:v>
      </x:c>
      <x:c r="C182" s="369" t="n">
        <x:f>IF($A182="","",ABS(2/T182-'02_Constants'!$D$6)/'02_Constants'!$D$6)</x:f>
        <x:v>0.0005038569425647246</x:v>
      </x:c>
      <x:c r="D182" s="369" t="n">
        <x:f>IF($A182="","",ABS(2/(T182+2*V182)-'02_Constants'!$D$7)/'02_Constants'!$D$7)</x:f>
        <x:v>0.0001322788601806687</x:v>
      </x:c>
      <x:c r="E182" s="369" t="n">
        <x:f>IF($A182="","",ABS((T182+2*V182)/2-'02_Constants'!$D$8)/'02_Constants'!$D$8)</x:f>
        <x:v>0.0003655230446644596</x:v>
      </x:c>
      <x:c r="F182" s="369" t="n">
        <x:f>IF($A182="","",ABS((T182+2*V182)/V182-'02_Constants'!$D$9)/'02_Constants'!$D$9)</x:f>
        <x:v>0.0003655230446643382</x:v>
      </x:c>
      <x:c r="G182" s="369" t="n">
        <x:f>IF($A182="","",ABS(V182-'02_Constants'!$D$10)/'02_Constants'!$D$10)</x:f>
        <x:v>0</x:v>
      </x:c>
      <x:c r="H182" s="369" t="n">
        <x:f>IF($A182="","",ABS((W182+1)/W182-'02_Constants'!$D$11)/'02_Constants'!$D$11)</x:f>
        <x:v>0.0004997186533125368</x:v>
      </x:c>
      <x:c r="I182" s="369" t="n">
        <x:f>IF($A182="","",ABS((U182+2*V182)/(W182+1)-'02_Constants'!$D$12)/'02_Constants'!$D$12)</x:f>
        <x:v>0.00006616930336335148</x:v>
      </x:c>
      <x:c r="J182" s="369" t="n">
        <x:f>IF($A182="","",ABS(X182/U182-'02_Constants'!$D$13)/'02_Constants'!$D$13)</x:f>
        <x:v>0.0006297993743293837</x:v>
      </x:c>
      <x:c r="K182" s="369" t="n">
        <x:f>IF($A182="","",ABS(W182/(W182+U182)-'02_Constants'!$D$14)/'02_Constants'!$D$14)</x:f>
        <x:v>0.0003454163683018481</x:v>
      </x:c>
      <x:c r="L182" s="369" t="n">
        <x:f>IF($A182="","",ABS(W182/U182-'02_Constants'!$D$15)/'02_Constants'!$D$15)</x:f>
        <x:v>0.000904817490840699</x:v>
      </x:c>
      <x:c r="M182" s="369" t="n">
        <x:f>IF($A182="","",ABS(2*A182/(90-A182)-'02_Constants'!$D$16)/'02_Constants'!$D$16)</x:f>
        <x:v>0.0007957020182911223</x:v>
      </x:c>
      <x:c r="N182" s="369" t="n">
        <x:f>IF($A182="","",ABS(2*A182/(90-A182)-1-'02_Constants'!$D$17)/'02_Constants'!$D$17)</x:f>
        <x:v>0.0012587820585454662</x:v>
      </x:c>
      <x:c r="O182" s="369" t="n">
        <x:f>IF(A182="","",AVERAGE(C182:N182))</x:f>
        <x:v>0.0004889655965882165</x:v>
      </x:c>
      <x:c r="P182" s="369" t="n">
        <x:f>IF(A182="","",SUMPRODUCT(C182:N182,'03_12_Errors'!$P$4:$AA$4)/SUM('03_12_Errors'!$P$4:$AA$4))</x:f>
        <x:v>0.0005163600243328786</x:v>
      </x:c>
      <x:c r="Q182" s="369" t="n">
        <x:f>IF(A182="","",SQRT(SUMSQ(C182:N182)/12))</x:f>
        <x:v>0.0006017342437291307</x:v>
      </x:c>
      <x:c r="R182" s="369" t="n">
        <x:f>IF(A182="","",MAX(C182:N182))</x:f>
        <x:v>0.0012587820585454662</x:v>
      </x:c>
      <x:c r="S182" s="390" t="n">
        <x:f>IF(A182="","",COUNTIF(C182:N182,"&lt;="&amp;'00_Start'!$B$7))</x:f>
        <x:v>11</x:v>
      </x:c>
      <x:c r="T182" s="365" t="n">
        <x:f>IF(A182="","",0.5*TAN(RADIANS(A182)))</x:f>
        <x:v>0.6369406993609564</x:v>
      </x:c>
      <x:c r="U182" s="365" t="n">
        <x:f>IF(A182="","",0.5)</x:f>
        <x:v>0.5</x:v>
      </x:c>
      <x:c r="V182" s="365" t="n">
        <x:f>IF(A182="","",SQRT(2))</x:f>
        <x:v>1.4142135623730951</x:v>
      </x:c>
      <x:c r="W182" s="365" t="n">
        <x:f>IF(A182="","",SQRT(T182^2+U182^2))</x:f>
        <x:v>0.8097490071018453</x:v>
      </x:c>
      <x:c r="X182" s="365" t="n">
        <x:f>IF(A182="","",SQRT(T182^2+2*U182^2))</x:f>
        <x:v>0.9516792813245565</x:v>
      </x:c>
      <x:c r="Y182" s="127"/>
      <x:c r="Z182" s="127"/>
      <x:c r="AA182" s="127"/>
      <x:c r="AB182" s="127"/>
      <x:c r="AC182" s="127"/>
      <x:c r="AD182" s="127"/>
      <x:c r="AE182" s="127"/>
      <x:c r="AF182" s="127"/>
      <x:c r="AG182" s="127"/>
      <x:c r="AH182" s="127"/>
      <x:c r="AI182" s="127"/>
      <x:c r="AJ182" s="127"/>
      <x:c r="AK182" s="127"/>
      <x:c r="AL182" s="127"/>
    </x:row>
    <x:row r="183">
      <x:c r="A183" s="367" t="n">
        <x:f>IF(A182="","",IF(A182+'00_Start'!$B$12&lt;='00_Start'!$B$11,A182+'00_Start'!$B$12,""))</x:f>
        <x:v>51.868500000000424</x:v>
      </x:c>
      <x:c r="B183" s="367" t="n">
        <x:f>IF(A183="","",2/TAN(RADIANS(A183)))</x:f>
        <x:v>1.5699766618390956</x:v>
      </x:c>
      <x:c r="C183" s="369" t="n">
        <x:f>IF($A183="","",ABS(2/T183-'02_Constants'!$D$6)/'02_Constants'!$D$6)</x:f>
        <x:v>0.0005218149175797109</x:v>
      </x:c>
      <x:c r="D183" s="369" t="n">
        <x:f>IF($A183="","",ABS(2/(T183+2*V183)-'02_Constants'!$D$7)/'02_Constants'!$D$7)</x:f>
        <x:v>0.0001355808430759258</x:v>
      </x:c>
      <x:c r="E183" s="369" t="n">
        <x:f>IF($A183="","",ABS((T183+2*V183)/2-'02_Constants'!$D$8)/'02_Constants'!$D$8)</x:f>
        <x:v>0.0003688266824205159</x:v>
      </x:c>
      <x:c r="F183" s="369" t="n">
        <x:f>IF($A183="","",ABS((T183+2*V183)/V183-'02_Constants'!$D$9)/'02_Constants'!$D$9)</x:f>
        <x:v>0.0003688266824204799</x:v>
      </x:c>
      <x:c r="G183" s="369" t="n">
        <x:f>IF($A183="","",ABS(V183-'02_Constants'!$D$10)/'02_Constants'!$D$10)</x:f>
        <x:v>0</x:v>
      </x:c>
      <x:c r="H183" s="369" t="n">
        <x:f>IF($A183="","",ABS((W183+1)/W183-'02_Constants'!$D$11)/'02_Constants'!$D$11)</x:f>
        <x:v>0.0005058582865599321</x:v>
      </x:c>
      <x:c r="I183" s="369" t="n">
        <x:f>IF($A183="","",ABS((U183+2*V183)/(W183+1)-'02_Constants'!$D$12)/'02_Constants'!$D$12)</x:f>
        <x:v>0.00007114305233678372</x:v>
      </x:c>
      <x:c r="J183" s="369" t="n">
        <x:f>IF($A183="","",ABS(X183/U183-'02_Constants'!$D$13)/'02_Constants'!$D$13)</x:f>
        <x:v>0.0006378527211281883</x:v>
      </x:c>
      <x:c r="K183" s="369" t="n">
        <x:f>IF($A183="","",ABS(W183/(W183+U183)-'02_Constants'!$D$14)/'02_Constants'!$D$14)</x:f>
        <x:v>0.00034966169983594866</x:v>
      </x:c>
      <x:c r="L183" s="369" t="n">
        <x:f>IF($A183="","",ABS(W183/U183-'02_Constants'!$D$15)/'02_Constants'!$D$15)</x:f>
        <x:v>0.0009159444235872967</x:v>
      </x:c>
      <x:c r="M183" s="369" t="n">
        <x:f>IF($A183="","",ABS(2*A183/(90-A183)-'02_Constants'!$D$16)/'02_Constants'!$D$16)</x:f>
        <x:v>0.0008184726224421491</x:v>
      </x:c>
      <x:c r="N183" s="369" t="n">
        <x:f>IF($A183="","",ABS(2*A183/(90-A183)-1-'02_Constants'!$D$17)/'02_Constants'!$D$17)</x:f>
        <x:v>0.0012948046239137326</x:v>
      </x:c>
      <x:c r="O183" s="369" t="n">
        <x:f>IF(A183="","",AVERAGE(C183:N183))</x:f>
        <x:v>0.0004990655462750553</x:v>
      </x:c>
      <x:c r="P183" s="369" t="n">
        <x:f>IF(A183="","",SUMPRODUCT(C183:N183,'03_12_Errors'!$P$4:$AA$4)/SUM('03_12_Errors'!$P$4:$AA$4))</x:f>
        <x:v>0.0005281692533648873</x:v>
      </x:c>
      <x:c r="Q183" s="369" t="n">
        <x:f>IF(A183="","",SQRT(SUMSQ(C183:N183)/12))</x:f>
        <x:v>0.0006149649847487824</x:v>
      </x:c>
      <x:c r="R183" s="369" t="n">
        <x:f>IF(A183="","",MAX(C183:N183))</x:f>
        <x:v>0.0012948046239137326</x:v>
      </x:c>
      <x:c r="S183" s="390" t="n">
        <x:f>IF(A183="","",COUNTIF(C183:N183,"&lt;="&amp;'00_Start'!$B$7))</x:f>
        <x:v>11</x:v>
      </x:c>
      <x:c r="T183" s="365" t="n">
        <x:f>IF(A183="","",0.5*TAN(RADIANS(A183)))</x:f>
        <x:v>0.6369521434978429</x:v>
      </x:c>
      <x:c r="U183" s="365" t="n">
        <x:f>IF(A183="","",0.5)</x:f>
        <x:v>0.5</x:v>
      </x:c>
      <x:c r="V183" s="365" t="n">
        <x:f>IF(A183="","",SQRT(2))</x:f>
        <x:v>1.4142135623730951</x:v>
      </x:c>
      <x:c r="W183" s="365" t="n">
        <x:f>IF(A183="","",SQRT(T183^2+U183^2))</x:f>
        <x:v>0.8097580089795325</x:v>
      </x:c>
      <x:c r="X183" s="365" t="n">
        <x:f>IF(A183="","",SQRT(T183^2+2*U183^2))</x:f>
        <x:v>0.9516869407039779</x:v>
      </x:c>
      <x:c r="Y183" s="127"/>
      <x:c r="Z183" s="127"/>
      <x:c r="AA183" s="127"/>
      <x:c r="AB183" s="127"/>
      <x:c r="AC183" s="127"/>
      <x:c r="AD183" s="127"/>
      <x:c r="AE183" s="127"/>
      <x:c r="AF183" s="127"/>
      <x:c r="AG183" s="127"/>
      <x:c r="AH183" s="127"/>
      <x:c r="AI183" s="127"/>
      <x:c r="AJ183" s="127"/>
      <x:c r="AK183" s="127"/>
      <x:c r="AL183" s="127"/>
    </x:row>
    <x:row r="184">
      <x:c r="A184" s="367" t="n">
        <x:f>IF(A183="","",IF(A183+'00_Start'!$B$12&lt;='00_Start'!$B$11,A183+'00_Start'!$B$12,""))</x:f>
        <x:v>51.869000000000426</x:v>
      </x:c>
      <x:c r="B184" s="367" t="n">
        <x:f>IF(A184="","",2/TAN(RADIANS(A184)))</x:f>
        <x:v>1.569948453904375</x:v>
      </x:c>
      <x:c r="C184" s="369" t="n">
        <x:f>IF($A184="","",ABS(2/T184-'02_Constants'!$D$6)/'02_Constants'!$D$6)</x:f>
        <x:v>0.0005397726465604161</x:v>
      </x:c>
      <x:c r="D184" s="369" t="n">
        <x:f>IF($A184="","",ABS(2/(T184+2*V184)-'02_Constants'!$D$7)/'02_Constants'!$D$7)</x:f>
        <x:v>0.0001388828775778418</x:v>
      </x:c>
      <x:c r="E184" s="369" t="n">
        <x:f>IF($A184="","",ABS((T184+2*V184)/2-'02_Constants'!$D$8)/'02_Constants'!$D$8)</x:f>
        <x:v>0.00037213039362977274</x:v>
      </x:c>
      <x:c r="F184" s="369" t="n">
        <x:f>IF($A184="","",ABS((T184+2*V184)/V184-'02_Constants'!$D$9)/'02_Constants'!$D$9)</x:f>
        <x:v>0.00037213039362977393</x:v>
      </x:c>
      <x:c r="G184" s="369" t="n">
        <x:f>IF($A184="","",ABS(V184-'02_Constants'!$D$10)/'02_Constants'!$D$10)</x:f>
        <x:v>0</x:v>
      </x:c>
      <x:c r="H184" s="369" t="n">
        <x:f>IF($A184="","",ABS((W184+1)/W184-'02_Constants'!$D$11)/'02_Constants'!$D$11)</x:f>
        <x:v>0.0005119979618658253</x:v>
      </x:c>
      <x:c r="I184" s="369" t="n">
        <x:f>IF($A184="","",ABS((U184+2*V184)/(W184+1)-'02_Constants'!$D$12)/'02_Constants'!$D$12)</x:f>
        <x:v>0.0000761168964879134</x:v>
      </x:c>
      <x:c r="J184" s="369" t="n">
        <x:f>IF($A184="","",ABS(X184/U184-'02_Constants'!$D$13)/'02_Constants'!$D$13)</x:f>
        <x:v>0.0006459063268679784</x:v>
      </x:c>
      <x:c r="K184" s="369" t="n">
        <x:f>IF($A184="","",ABS(W184/(W184+U184)-'02_Constants'!$D$14)/'02_Constants'!$D$14)</x:f>
        <x:v>0.00035390709648553954</x:v>
      </x:c>
      <x:c r="L184" s="369" t="n">
        <x:f>IF($A184="","",ABS(W184/U184-'02_Constants'!$D$15)/'02_Constants'!$D$15)</x:f>
        <x:v>0.0009270716799555984</x:v>
      </x:c>
      <x:c r="M184" s="369" t="n">
        <x:f>IF($A184="","",ABS(2*A184/(90-A184)-'02_Constants'!$D$16)/'02_Constants'!$D$16)</x:f>
        <x:v>0.0008412438237608227</x:v>
      </x:c>
      <x:c r="N184" s="369" t="n">
        <x:f>IF($A184="","",ABS(2*A184/(90-A184)-1-'02_Constants'!$D$17)/'02_Constants'!$D$17)</x:f>
        <x:v>0.0013308281339873063</x:v>
      </x:c>
      <x:c r="O184" s="369" t="n">
        <x:f>IF(A184="","",AVERAGE(C184:N184))</x:f>
        <x:v>0.0005091656859007324</x:v>
      </x:c>
      <x:c r="P184" s="369" t="n">
        <x:f>IF(A184="","",SUMPRODUCT(C184:N184,'03_12_Errors'!$P$4:$AA$4)/SUM('03_12_Errors'!$P$4:$AA$4))</x:f>
        <x:v>0.0005399786638619706</x:v>
      </x:c>
      <x:c r="Q184" s="369" t="n">
        <x:f>IF(A184="","",SQRT(SUMSQ(C184:N184)/12))</x:f>
        <x:v>0.0006282410980471204</x:v>
      </x:c>
      <x:c r="R184" s="369" t="n">
        <x:f>IF(A184="","",MAX(C184:N184))</x:f>
        <x:v>0.0013308281339873063</x:v>
      </x:c>
      <x:c r="S184" s="390" t="n">
        <x:f>IF(A184="","",COUNTIF(C184:N184,"&lt;="&amp;'00_Start'!$B$7))</x:f>
        <x:v>11</x:v>
      </x:c>
      <x:c r="T184" s="365" t="n">
        <x:f>IF(A184="","",0.5*TAN(RADIANS(A184)))</x:f>
        <x:v>0.636963587889179</x:v>
      </x:c>
      <x:c r="U184" s="365" t="n">
        <x:f>IF(A184="","",0.5)</x:f>
        <x:v>0.5</x:v>
      </x:c>
      <x:c r="V184" s="365" t="n">
        <x:f>IF(A184="","",SQRT(2))</x:f>
        <x:v>1.4142135623730951</x:v>
      </x:c>
      <x:c r="W184" s="365" t="n">
        <x:f>IF(A184="","",SQRT(T184^2+U184^2))</x:f>
        <x:v>0.8097670111190353</x:v>
      </x:c>
      <x:c r="X184" s="365" t="n">
        <x:f>IF(A184="","",SQRT(T184^2+2*U184^2))</x:f>
        <x:v>0.9516946003296729</x:v>
      </x:c>
      <x:c r="Y184" s="127"/>
      <x:c r="Z184" s="127"/>
      <x:c r="AA184" s="127"/>
      <x:c r="AB184" s="127"/>
      <x:c r="AC184" s="127"/>
      <x:c r="AD184" s="127"/>
      <x:c r="AE184" s="127"/>
      <x:c r="AF184" s="127"/>
      <x:c r="AG184" s="127"/>
      <x:c r="AH184" s="127"/>
      <x:c r="AI184" s="127"/>
      <x:c r="AJ184" s="127"/>
      <x:c r="AK184" s="127"/>
      <x:c r="AL184" s="127"/>
    </x:row>
    <x:row r="185">
      <x:c r="A185" s="367" t="n">
        <x:f>IF(A184="","",IF(A184+'00_Start'!$B$12&lt;='00_Start'!$B$11,A184+'00_Start'!$B$12,""))</x:f>
        <x:v>51.86950000000043</x:v>
      </x:c>
      <x:c r="B185" s="367" t="n">
        <x:f>IF(A185="","",2/TAN(RADIANS(A185)))</x:f>
        <x:v>1.569920246356111</x:v>
      </x:c>
      <x:c r="C185" s="369" t="n">
        <x:f>IF($A185="","",ABS(2/T185-'02_Constants'!$D$6)/'02_Constants'!$D$6)</x:f>
        <x:v>0.0005577301295153217</x:v>
      </x:c>
      <x:c r="D185" s="369" t="n">
        <x:f>IF($A185="","",ABS(2/(T185+2*V185)-'02_Constants'!$D$7)/'02_Constants'!$D$7)</x:f>
        <x:v>0.00014218496368834013</x:v>
      </x:c>
      <x:c r="E185" s="369" t="n">
        <x:f>IF($A185="","",ABS((T185+2*V185)/2-'02_Constants'!$D$8)/'02_Constants'!$D$8)</x:f>
        <x:v>0.00037543417829543496</x:v>
      </x:c>
      <x:c r="F185" s="369" t="n">
        <x:f>IF($A185="","",ABS((T185+2*V185)/V185-'02_Constants'!$D$9)/'02_Constants'!$D$9)</x:f>
        <x:v>0.0003754341782954838</x:v>
      </x:c>
      <x:c r="G185" s="369" t="n">
        <x:f>IF($A185="","",ABS(V185-'02_Constants'!$D$10)/'02_Constants'!$D$10)</x:f>
        <x:v>0</x:v>
      </x:c>
      <x:c r="H185" s="369" t="n">
        <x:f>IF($A185="","",ABS((W185+1)/W185-'02_Constants'!$D$11)/'02_Constants'!$D$11)</x:f>
        <x:v>0.0005181376792300177</x:v>
      </x:c>
      <x:c r="I185" s="369" t="n">
        <x:f>IF($A185="","",ABS((U185+2*V185)/(W185+1)-'02_Constants'!$D$12)/'02_Constants'!$D$12)</x:f>
        <x:v>0.00008109083581879286</x:v>
      </x:c>
      <x:c r="J185" s="369" t="n">
        <x:f>IF($A185="","",ABS(X185/U185-'02_Constants'!$D$13)/'02_Constants'!$D$13)</x:f>
        <x:v>0.0006539601915594937</x:v>
      </x:c>
      <x:c r="K185" s="369" t="n">
        <x:f>IF($A185="","",ABS(W185/(W185+U185)-'02_Constants'!$D$14)/'02_Constants'!$D$14)</x:f>
        <x:v>0.00035815255825187825</x:v>
      </x:c>
      <x:c r="L185" s="369" t="n">
        <x:f>IF($A185="","",ABS(W185/U185-'02_Constants'!$D$15)/'02_Constants'!$D$15)</x:f>
        <x:v>0.0009381992599586408</x:v>
      </x:c>
      <x:c r="M185" s="369" t="n">
        <x:f>IF($A185="","",ABS(2*A185/(90-A185)-'02_Constants'!$D$16)/'02_Constants'!$D$16)</x:f>
        <x:v>0.0008640156222709954</x:v>
      </x:c>
      <x:c r="N185" s="369" t="n">
        <x:f>IF($A185="","",ABS(2*A185/(90-A185)-1-'02_Constants'!$D$17)/'02_Constants'!$D$17)</x:f>
        <x:v>0.0013668525888039212</x:v>
      </x:c>
      <x:c r="O185" s="369" t="n">
        <x:f>IF(A185="","",AVERAGE(C185:N185))</x:f>
        <x:v>0.0005192660154740267</x:v>
      </x:c>
      <x:c r="P185" s="369" t="n">
        <x:f>IF(A185="","",SUMPRODUCT(C185:N185,'03_12_Errors'!$P$4:$AA$4)/SUM('03_12_Errors'!$P$4:$AA$4))</x:f>
        <x:v>0.0005517882558340554</x:v>
      </x:c>
      <x:c r="Q185" s="369" t="n">
        <x:f>IF(A185="","",SQRT(SUMSQ(C185:N185)/12))</x:f>
        <x:v>0.0006415597866129871</x:v>
      </x:c>
      <x:c r="R185" s="369" t="n">
        <x:f>IF(A185="","",MAX(C185:N185))</x:f>
        <x:v>0.0013668525888039212</x:v>
      </x:c>
      <x:c r="S185" s="390" t="n">
        <x:f>IF(A185="","",COUNTIF(C185:N185,"&lt;="&amp;'00_Start'!$B$7))</x:f>
        <x:v>11</x:v>
      </x:c>
      <x:c r="T185" s="365" t="n">
        <x:f>IF(A185="","",0.5*TAN(RADIANS(A185)))</x:f>
        <x:v>0.6369750325349751</x:v>
      </x:c>
      <x:c r="U185" s="365" t="n">
        <x:f>IF(A185="","",0.5)</x:f>
        <x:v>0.5</x:v>
      </x:c>
      <x:c r="V185" s="365" t="n">
        <x:f>IF(A185="","",SQRT(2))</x:f>
        <x:v>1.4142135623730951</x:v>
      </x:c>
      <x:c r="W185" s="365" t="n">
        <x:f>IF(A185="","",SQRT(T185^2+U185^2))</x:f>
        <x:v>0.809776013520364</x:v>
      </x:c>
      <x:c r="X185" s="365" t="n">
        <x:f>IF(A185="","",SQRT(T185^2+2*U185^2))</x:f>
        <x:v>0.9517022602016518</x:v>
      </x:c>
      <x:c r="Y185" s="127"/>
      <x:c r="Z185" s="127"/>
      <x:c r="AA185" s="127"/>
      <x:c r="AB185" s="127"/>
      <x:c r="AC185" s="127"/>
      <x:c r="AD185" s="127"/>
      <x:c r="AE185" s="127"/>
      <x:c r="AF185" s="127"/>
      <x:c r="AG185" s="127"/>
      <x:c r="AH185" s="127"/>
      <x:c r="AI185" s="127"/>
      <x:c r="AJ185" s="127"/>
      <x:c r="AK185" s="127"/>
      <x:c r="AL185" s="127"/>
    </x:row>
    <x:row r="186">
      <x:c r="A186" s="367" t="n">
        <x:f>IF(A185="","",IF(A185+'00_Start'!$B$12&lt;='00_Start'!$B$11,A185+'00_Start'!$B$12,""))</x:f>
        <x:v>51.87000000000043</x:v>
      </x:c>
      <x:c r="B186" s="367" t="n">
        <x:f>IF(A186="","",2/TAN(RADIANS(A186)))</x:f>
        <x:v>1.5698920391942923</x:v>
      </x:c>
      <x:c r="C186" s="369" t="n">
        <x:f>IF($A186="","",ABS(2/T186-'02_Constants'!$D$6)/'02_Constants'!$D$6)</x:f>
        <x:v>0.0005756873664514954</x:v>
      </x:c>
      <x:c r="D186" s="369" t="n">
        <x:f>IF($A186="","",ABS(2/(T186+2*V186)-'02_Constants'!$D$7)/'02_Constants'!$D$7)</x:f>
        <x:v>0.0001454871014089595</x:v>
      </x:c>
      <x:c r="E186" s="369" t="n">
        <x:f>IF($A186="","",ABS((T186+2*V186)/2-'02_Constants'!$D$8)/'02_Constants'!$D$8)</x:f>
        <x:v>0.0003787380364201948</x:v>
      </x:c>
      <x:c r="F186" s="369" t="n">
        <x:f>IF($A186="","",ABS((T186+2*V186)/V186-'02_Constants'!$D$9)/'02_Constants'!$D$9)</x:f>
        <x:v>0.0003787380364201476</x:v>
      </x:c>
      <x:c r="G186" s="369" t="n">
        <x:f>IF($A186="","",ABS(V186-'02_Constants'!$D$10)/'02_Constants'!$D$10)</x:f>
        <x:v>0</x:v>
      </x:c>
      <x:c r="H186" s="369" t="n">
        <x:f>IF($A186="","",ABS((W186+1)/W186-'02_Constants'!$D$11)/'02_Constants'!$D$11)</x:f>
        <x:v>0.0005242774386515163</x:v>
      </x:c>
      <x:c r="I186" s="369" t="n">
        <x:f>IF($A186="","",ABS((U186+2*V186)/(W186+1)-'02_Constants'!$D$12)/'02_Constants'!$D$12)</x:f>
        <x:v>0.00008606487033135367</x:v>
      </x:c>
      <x:c r="J186" s="369" t="n">
        <x:f>IF($A186="","",ABS(X186/U186-'02_Constants'!$D$13)/'02_Constants'!$D$13)</x:f>
        <x:v>0.00066201431521324</x:v>
      </x:c>
      <x:c r="K186" s="369" t="n">
        <x:f>IF($A186="","",ABS(W186/(W186+U186)-'02_Constants'!$D$14)/'02_Constants'!$D$14)</x:f>
        <x:v>0.00036239808513550373</x:v>
      </x:c>
      <x:c r="L186" s="369" t="n">
        <x:f>IF($A186="","",ABS(W186/U186-'02_Constants'!$D$15)/'02_Constants'!$D$15)</x:f>
        <x:v>0.0009493271636082261</x:v>
      </x:c>
      <x:c r="M186" s="369" t="n">
        <x:f>IF($A186="","",ABS(2*A186/(90-A186)-'02_Constants'!$D$16)/'02_Constants'!$D$16)</x:f>
        <x:v>0.0008867880179957024</x:v>
      </x:c>
      <x:c r="N186" s="369" t="n">
        <x:f>IF($A186="","",ABS(2*A186/(90-A186)-1-'02_Constants'!$D$17)/'02_Constants'!$D$17)</x:f>
        <x:v>0.0014028779884000182</x:v>
      </x:c>
      <x:c r="O186" s="369" t="n">
        <x:f>IF(A186="","",AVERAGE(C186:N186))</x:f>
        <x:v>0.0005293665350030298</x:v>
      </x:c>
      <x:c r="P186" s="369" t="n">
        <x:f>IF(A186="","",SUMPRODUCT(C186:N186,'03_12_Errors'!$P$4:$AA$4)/SUM('03_12_Errors'!$P$4:$AA$4))</x:f>
        <x:v>0.0005635980292903554</x:v>
      </x:c>
      <x:c r="Q186" s="369" t="n">
        <x:f>IF(A186="","",SQRT(SUMSQ(C186:N186)/12))</x:f>
        <x:v>0.0006549184722820341</x:v>
      </x:c>
      <x:c r="R186" s="369" t="n">
        <x:f>IF(A186="","",MAX(C186:N186))</x:f>
        <x:v>0.0014028779884000182</x:v>
      </x:c>
      <x:c r="S186" s="390" t="n">
        <x:f>IF(A186="","",COUNTIF(C186:N186,"&lt;="&amp;'00_Start'!$B$7))</x:f>
        <x:v>11</x:v>
      </x:c>
      <x:c r="T186" s="365" t="n">
        <x:f>IF(A186="","",0.5*TAN(RADIANS(A186)))</x:f>
        <x:v>0.6369864774352413</x:v>
      </x:c>
      <x:c r="U186" s="365" t="n">
        <x:f>IF(A186="","",0.5)</x:f>
        <x:v>0.5</x:v>
      </x:c>
      <x:c r="V186" s="365" t="n">
        <x:f>IF(A186="","",SQRT(2))</x:f>
        <x:v>1.4142135623730951</x:v>
      </x:c>
      <x:c r="W186" s="365" t="n">
        <x:f>IF(A186="","",SQRT(T186^2+U186^2))</x:f>
        <x:v>0.8097850161835283</x:v>
      </x:c>
      <x:c r="X186" s="365" t="n">
        <x:f>IF(A186="","",SQRT(T186^2+2*U186^2))</x:f>
        <x:v>0.9517099203199246</x:v>
      </x:c>
      <x:c r="Y186" s="127"/>
      <x:c r="Z186" s="127"/>
      <x:c r="AA186" s="127"/>
      <x:c r="AB186" s="127"/>
      <x:c r="AC186" s="127"/>
      <x:c r="AD186" s="127"/>
      <x:c r="AE186" s="127"/>
      <x:c r="AF186" s="127"/>
      <x:c r="AG186" s="127"/>
      <x:c r="AH186" s="127"/>
      <x:c r="AI186" s="127"/>
      <x:c r="AJ186" s="127"/>
      <x:c r="AK186" s="127"/>
      <x:c r="AL186" s="127"/>
    </x:row>
    <x:row r="187">
      <x:c r="A187" s="367" t="n">
        <x:f>IF(A186="","",IF(A186+'00_Start'!$B$12&lt;='00_Start'!$B$11,A186+'00_Start'!$B$12,""))</x:f>
        <x:v>51.87050000000043</x:v>
      </x:c>
      <x:c r="B187" s="367" t="n">
        <x:f>IF(A187="","",2/TAN(RADIANS(A187)))</x:f>
        <x:v>1.5698638324189054</x:v>
      </x:c>
      <x:c r="C187" s="369" t="n">
        <x:f>IF($A187="","",ABS(2/T187-'02_Constants'!$D$6)/'02_Constants'!$D$6)</x:f>
        <x:v>0.0005936443573775603</x:v>
      </x:c>
      <x:c r="D187" s="369" t="n">
        <x:f>IF($A187="","",ABS(2/(T187+2*V187)-'02_Constants'!$D$7)/'02_Constants'!$D$7)</x:f>
        <x:v>0.00014878929074162332</x:v>
      </x:c>
      <x:c r="E187" s="369" t="n">
        <x:f>IF($A187="","",ABS((T187+2*V187)/2-'02_Constants'!$D$8)/'02_Constants'!$D$8)</x:f>
        <x:v>0.00038204196800712895</x:v>
      </x:c>
      <x:c r="F187" s="369" t="n">
        <x:f>IF($A187="","",ABS((T187+2*V187)/V187-'02_Constants'!$D$9)/'02_Constants'!$D$9)</x:f>
        <x:v>0.00038204196800702877</x:v>
      </x:c>
      <x:c r="G187" s="369" t="n">
        <x:f>IF($A187="","",ABS(V187-'02_Constants'!$D$10)/'02_Constants'!$D$10)</x:f>
        <x:v>0</x:v>
      </x:c>
      <x:c r="H187" s="369" t="n">
        <x:f>IF($A187="","",ABS((W187+1)/W187-'02_Constants'!$D$11)/'02_Constants'!$D$11)</x:f>
        <x:v>0.000530417240130321</x:v>
      </x:c>
      <x:c r="I187" s="369" t="n">
        <x:f>IF($A187="","",ABS((U187+2*V187)/(W187+1)-'02_Constants'!$D$12)/'02_Constants'!$D$12)</x:f>
        <x:v>0.00009103900002788954</x:v>
      </x:c>
      <x:c r="J187" s="369" t="n">
        <x:f>IF($A187="","",ABS(X187/U187-'02_Constants'!$D$13)/'02_Constants'!$D$13)</x:f>
        <x:v>0.0006700686978398401</x:v>
      </x:c>
      <x:c r="K187" s="369" t="n">
        <x:f>IF($A187="","",ABS(W187/(W187+U187)-'02_Constants'!$D$14)/'02_Constants'!$D$14)</x:f>
        <x:v>0.0003666436771374938</x:v>
      </x:c>
      <x:c r="L187" s="369" t="n">
        <x:f>IF($A187="","",ABS(W187/U187-'02_Constants'!$D$15)/'02_Constants'!$D$15)</x:f>
        <x:v>0.0009604553909175282</x:v>
      </x:c>
      <x:c r="M187" s="369" t="n">
        <x:f>IF($A187="","",ABS(2*A187/(90-A187)-'02_Constants'!$D$16)/'02_Constants'!$D$16)</x:f>
        <x:v>0.000909561010958796</x:v>
      </x:c>
      <x:c r="N187" s="369" t="n">
        <x:f>IF($A187="","",ABS(2*A187/(90-A187)-1-'02_Constants'!$D$17)/'02_Constants'!$D$17)</x:f>
        <x:v>0.0014389043328133313</x:v>
      </x:c>
      <x:c r="O187" s="369" t="n">
        <x:f>IF(A187="","",AVERAGE(C187:N187))</x:f>
        <x:v>0.0005394672444965452</x:v>
      </x:c>
      <x:c r="P187" s="369" t="n">
        <x:f>IF(A187="","",SUMPRODUCT(C187:N187,'03_12_Errors'!$P$4:$AA$4)/SUM('03_12_Errors'!$P$4:$AA$4))</x:f>
        <x:v>0.0005754079842408437</x:v>
      </x:c>
      <x:c r="Q187" s="369" t="n">
        <x:f>IF(A187="","",SQRT(SUMSQ(C187:N187)/12))</x:f>
        <x:v>0.0006683147755283552</x:v>
      </x:c>
      <x:c r="R187" s="369" t="n">
        <x:f>IF(A187="","",MAX(C187:N187))</x:f>
        <x:v>0.0014389043328133313</x:v>
      </x:c>
      <x:c r="S187" s="390" t="n">
        <x:f>IF(A187="","",COUNTIF(C187:N187,"&lt;="&amp;'00_Start'!$B$7))</x:f>
        <x:v>11</x:v>
      </x:c>
      <x:c r="T187" s="365" t="n">
        <x:f>IF(A187="","",0.5*TAN(RADIANS(A187)))</x:f>
        <x:v>0.6369979225899881</x:v>
      </x:c>
      <x:c r="U187" s="365" t="n">
        <x:f>IF(A187="","",0.5)</x:f>
        <x:v>0.5</x:v>
      </x:c>
      <x:c r="V187" s="365" t="n">
        <x:f>IF(A187="","",SQRT(2))</x:f>
        <x:v>1.4142135623730951</x:v>
      </x:c>
      <x:c r="W187" s="365" t="n">
        <x:f>IF(A187="","",SQRT(T187^2+U187^2))</x:f>
        <x:v>0.8097940191085388</x:v>
      </x:c>
      <x:c r="X187" s="365" t="n">
        <x:f>IF(A187="","",SQRT(T187^2+2*U187^2))</x:f>
        <x:v>0.9517175806845014</x:v>
      </x:c>
      <x:c r="Y187" s="127"/>
      <x:c r="Z187" s="127"/>
      <x:c r="AA187" s="127"/>
      <x:c r="AB187" s="127"/>
      <x:c r="AC187" s="127"/>
      <x:c r="AD187" s="127"/>
      <x:c r="AE187" s="127"/>
      <x:c r="AF187" s="127"/>
      <x:c r="AG187" s="127"/>
      <x:c r="AH187" s="127"/>
      <x:c r="AI187" s="127"/>
      <x:c r="AJ187" s="127"/>
      <x:c r="AK187" s="127"/>
      <x:c r="AL187" s="127"/>
    </x:row>
    <x:row r="188">
      <x:c r="A188" s="367" t="n">
        <x:f>IF(A187="","",IF(A187+'00_Start'!$B$12&lt;='00_Start'!$B$11,A187+'00_Start'!$B$12,""))</x:f>
        <x:v>51.871000000000436</x:v>
      </x:c>
      <x:c r="B188" s="367" t="n">
        <x:f>IF(A188="","",2/TAN(RADIANS(A188)))</x:f>
        <x:v>1.5698356260299386</x:v>
      </x:c>
      <x:c r="C188" s="369" t="n">
        <x:f>IF($A188="","",ABS(2/T188-'02_Constants'!$D$6)/'02_Constants'!$D$6)</x:f>
        <x:v>0.0006116011023008668</x:v>
      </x:c>
      <x:c r="D188" s="369" t="n">
        <x:f>IF($A188="","",ABS(2/(T188+2*V188)-'02_Constants'!$D$7)/'02_Constants'!$D$7)</x:f>
        <x:v>0.00015209153168806264</x:v>
      </x:c>
      <x:c r="E188" s="369" t="n">
        <x:f>IF($A188="","",ABS((T188+2*V188)/2-'02_Constants'!$D$8)/'02_Constants'!$D$8)</x:f>
        <x:v>0.00038534597305931416</x:v>
      </x:c>
      <x:c r="F188" s="369" t="n">
        <x:f>IF($A188="","",ABS((T188+2*V188)/V188-'02_Constants'!$D$9)/'02_Constants'!$D$9)</x:f>
        <x:v>0.00038534597305920926</x:v>
      </x:c>
      <x:c r="G188" s="369" t="n">
        <x:f>IF($A188="","",ABS(V188-'02_Constants'!$D$10)/'02_Constants'!$D$10)</x:f>
        <x:v>0</x:v>
      </x:c>
      <x:c r="H188" s="369" t="n">
        <x:f>IF($A188="","",ABS((W188+1)/W188-'02_Constants'!$D$11)/'02_Constants'!$D$11)</x:f>
        <x:v>0.0005365570836658363</x:v>
      </x:c>
      <x:c r="I188" s="369" t="n">
        <x:f>IF($A188="","",ABS((U188+2*V188)/(W188+1)-'02_Constants'!$D$12)/'02_Constants'!$D$12)</x:f>
        <x:v>0.00009601322491021132</x:v>
      </x:c>
      <x:c r="J188" s="369" t="n">
        <x:f>IF($A188="","",ABS(X188/U188-'02_Constants'!$D$13)/'02_Constants'!$D$13)</x:f>
        <x:v>0.0006781233394500332</x:v>
      </x:c>
      <x:c r="K188" s="369" t="n">
        <x:f>IF($A188="","",ABS(W188/(W188+U188)-'02_Constants'!$D$14)/'02_Constants'!$D$14)</x:f>
        <x:v>0.0003708893342587466</x:v>
      </x:c>
      <x:c r="L188" s="369" t="n">
        <x:f>IF($A188="","",ABS(W188/U188-'02_Constants'!$D$15)/'02_Constants'!$D$15)</x:f>
        <x:v>0.000971583941898898</x:v>
      </x:c>
      <x:c r="M188" s="369" t="n">
        <x:f>IF($A188="","",ABS(2*A188/(90-A188)-'02_Constants'!$D$16)/'02_Constants'!$D$16)</x:f>
        <x:v>0.0009323346011836383</x:v>
      </x:c>
      <x:c r="N188" s="369" t="n">
        <x:f>IF($A188="","",ABS(2*A188/(90-A188)-1-'02_Constants'!$D$17)/'02_Constants'!$D$17)</x:f>
        <x:v>0.0014749316220808188</x:v>
      </x:c>
      <x:c r="O188" s="369" t="n">
        <x:f>IF(A188="","",AVERAGE(C188:N188))</x:f>
        <x:v>0.0005495681439629696</x:v>
      </x:c>
      <x:c r="P188" s="369" t="n">
        <x:f>IF(A188="","",SUMPRODUCT(C188:N188,'03_12_Errors'!$P$4:$AA$4)/SUM('03_12_Errors'!$P$4:$AA$4))</x:f>
        <x:v>0.0005872181206950049</x:v>
      </x:c>
      <x:c r="Q188" s="369" t="n">
        <x:f>IF(A188="","",SQRT(SUMSQ(C188:N188)/12))</x:f>
        <x:v>0.0006817464973599212</x:v>
      </x:c>
      <x:c r="R188" s="369" t="n">
        <x:f>IF(A188="","",MAX(C188:N188))</x:f>
        <x:v>0.0014749316220808188</x:v>
      </x:c>
      <x:c r="S188" s="390" t="n">
        <x:f>IF(A188="","",COUNTIF(C188:N188,"&lt;="&amp;'00_Start'!$B$7))</x:f>
        <x:v>11</x:v>
      </x:c>
      <x:c r="T188" s="365" t="n">
        <x:f>IF(A188="","",0.5*TAN(RADIANS(A188)))</x:f>
        <x:v>0.6370093679992257</x:v>
      </x:c>
      <x:c r="U188" s="365" t="n">
        <x:f>IF(A188="","",0.5)</x:f>
        <x:v>0.5</x:v>
      </x:c>
      <x:c r="V188" s="365" t="n">
        <x:f>IF(A188="","",SQRT(2))</x:f>
        <x:v>1.4142135623730951</x:v>
      </x:c>
      <x:c r="W188" s="365" t="n">
        <x:f>IF(A188="","",SQRT(T188^2+U188^2))</x:f>
        <x:v>0.8098030222954055</x:v>
      </x:c>
      <x:c r="X188" s="365" t="n">
        <x:f>IF(A188="","",SQRT(T188^2+2*U188^2))</x:f>
        <x:v>0.9517252412953924</x:v>
      </x:c>
      <x:c r="Y188" s="127"/>
      <x:c r="Z188" s="127"/>
      <x:c r="AA188" s="127"/>
      <x:c r="AB188" s="127"/>
      <x:c r="AC188" s="127"/>
      <x:c r="AD188" s="127"/>
      <x:c r="AE188" s="127"/>
      <x:c r="AF188" s="127"/>
      <x:c r="AG188" s="127"/>
      <x:c r="AH188" s="127"/>
      <x:c r="AI188" s="127"/>
      <x:c r="AJ188" s="127"/>
      <x:c r="AK188" s="127"/>
      <x:c r="AL188" s="127"/>
    </x:row>
    <x:row r="189">
      <x:c r="A189" s="367" t="n">
        <x:f>IF(A188="","",IF(A188+'00_Start'!$B$12&lt;='00_Start'!$B$11,A188+'00_Start'!$B$12,""))</x:f>
        <x:v>51.87150000000044</x:v>
      </x:c>
      <x:c r="B189" s="367" t="n">
        <x:f>IF(A189="","",2/TAN(RADIANS(A189)))</x:f>
        <x:v>1.5698074200273804</x:v>
      </x:c>
      <x:c r="C189" s="369" t="n">
        <x:f>IF($A189="","",ABS(2/T189-'02_Constants'!$D$6)/'02_Constants'!$D$6)</x:f>
        <x:v>0.000629557601228907</x:v>
      </x:c>
      <x:c r="D189" s="369" t="n">
        <x:f>IF($A189="","",ABS(2/(T189+2*V189)-'02_Constants'!$D$7)/'02_Constants'!$D$7)</x:f>
        <x:v>0.00015539382424962388</x:v>
      </x:c>
      <x:c r="E189" s="369" t="n">
        <x:f>IF($A189="","",ABS((T189+2*V189)/2-'02_Constants'!$D$8)/'02_Constants'!$D$8)</x:f>
        <x:v>0.0003886500515794426</x:v>
      </x:c>
      <x:c r="F189" s="369" t="n">
        <x:f>IF($A189="","",ABS((T189+2*V189)/V189-'02_Constants'!$D$9)/'02_Constants'!$D$9)</x:f>
        <x:v>0.0003886500515794087</x:v>
      </x:c>
      <x:c r="G189" s="369" t="n">
        <x:f>IF($A189="","",ABS(V189-'02_Constants'!$D$10)/'02_Constants'!$D$10)</x:f>
        <x:v>0</x:v>
      </x:c>
      <x:c r="H189" s="369" t="n">
        <x:f>IF($A189="","",ABS((W189+1)/W189-'02_Constants'!$D$11)/'02_Constants'!$D$11)</x:f>
        <x:v>0.0005426969692576646</x:v>
      </x:c>
      <x:c r="I189" s="369" t="n">
        <x:f>IF($A189="","",ABS((U189+2*V189)/(W189+1)-'02_Constants'!$D$12)/'02_Constants'!$D$12)</x:f>
        <x:v>0.00010098754498000916</x:v>
      </x:c>
      <x:c r="J189" s="369" t="n">
        <x:f>IF($A189="","",ABS(X189/U189-'02_Constants'!$D$13)/'02_Constants'!$D$13)</x:f>
        <x:v>0.0006861782400542087</x:v>
      </x:c>
      <x:c r="K189" s="369" t="n">
        <x:f>IF($A189="","",ABS(W189/(W189+U189)-'02_Constants'!$D$14)/'02_Constants'!$D$14)</x:f>
        <x:v>0.00037513505650016036</x:v>
      </x:c>
      <x:c r="L189" s="369" t="n">
        <x:f>IF($A189="","",ABS(W189/U189-'02_Constants'!$D$15)/'02_Constants'!$D$15)</x:f>
        <x:v>0.000982712816564412</x:v>
      </x:c>
      <x:c r="M189" s="369" t="n">
        <x:f>IF($A189="","",ABS(2*A189/(90-A189)-'02_Constants'!$D$16)/'02_Constants'!$D$16)</x:f>
        <x:v>0.0009551087886935913</x:v>
      </x:c>
      <x:c r="N189" s="369" t="n">
        <x:f>IF($A189="","",ABS(2*A189/(90-A189)-1-'02_Constants'!$D$17)/'02_Constants'!$D$17)</x:f>
        <x:v>0.001510959856239439</x:v>
      </x:c>
      <x:c r="O189" s="369" t="n">
        <x:f>IF(A189="","",AVERAGE(C189:N189))</x:f>
        <x:v>0.0005596692334105723</x:v>
      </x:c>
      <x:c r="P189" s="369" t="n">
        <x:f>IF(A189="","",SUMPRODUCT(C189:N189,'03_12_Errors'!$P$4:$AA$4)/SUM('03_12_Errors'!$P$4:$AA$4))</x:f>
        <x:v>0.0005990284386622019</x:v>
      </x:c>
      <x:c r="Q189" s="369" t="n">
        <x:f>IF(A189="","",SQRT(SUMSQ(C189:N189)/12))</x:f>
        <x:v>0.0006952116030829521</x:v>
      </x:c>
      <x:c r="R189" s="369" t="n">
        <x:f>IF(A189="","",MAX(C189:N189))</x:f>
        <x:v>0.001510959856239439</x:v>
      </x:c>
      <x:c r="S189" s="390" t="n">
        <x:f>IF(A189="","",COUNTIF(C189:N189,"&lt;="&amp;'00_Start'!$B$7))</x:f>
        <x:v>11</x:v>
      </x:c>
      <x:c r="T189" s="365" t="n">
        <x:f>IF(A189="","",0.5*TAN(RADIANS(A189)))</x:f>
        <x:v>0.6370208136629639</x:v>
      </x:c>
      <x:c r="U189" s="365" t="n">
        <x:f>IF(A189="","",0.5)</x:f>
        <x:v>0.5</x:v>
      </x:c>
      <x:c r="V189" s="365" t="n">
        <x:f>IF(A189="","",SQRT(2))</x:f>
        <x:v>1.4142135623730951</x:v>
      </x:c>
      <x:c r="W189" s="365" t="n">
        <x:f>IF(A189="","",SQRT(T189^2+U189^2))</x:f>
        <x:v>0.8098120257441381</x:v>
      </x:c>
      <x:c r="X189" s="365" t="n">
        <x:f>IF(A189="","",SQRT(T189^2+2*U189^2))</x:f>
        <x:v>0.9517329021526074</x:v>
      </x:c>
      <x:c r="Y189" s="127"/>
      <x:c r="Z189" s="127"/>
      <x:c r="AA189" s="127"/>
      <x:c r="AB189" s="127"/>
      <x:c r="AC189" s="127"/>
      <x:c r="AD189" s="127"/>
      <x:c r="AE189" s="127"/>
      <x:c r="AF189" s="127"/>
      <x:c r="AG189" s="127"/>
      <x:c r="AH189" s="127"/>
      <x:c r="AI189" s="127"/>
      <x:c r="AJ189" s="127"/>
      <x:c r="AK189" s="127"/>
      <x:c r="AL189" s="127"/>
    </x:row>
    <x:row r="190">
      <x:c r="A190" s="367" t="n">
        <x:f>IF(A189="","",IF(A189+'00_Start'!$B$12&lt;='00_Start'!$B$11,A189+'00_Start'!$B$12,""))</x:f>
        <x:v>51.87200000000044</x:v>
      </x:c>
      <x:c r="B190" s="367" t="n">
        <x:f>IF(A190="","",2/TAN(RADIANS(A190)))</x:f>
        <x:v>1.5697792144112175</x:v>
      </x:c>
      <x:c r="C190" s="369" t="n">
        <x:f>IF($A190="","",ABS(2/T190-'02_Constants'!$D$6)/'02_Constants'!$D$6)</x:f>
        <x:v>0.0006475138541700209</x:v>
      </x:c>
      <x:c r="D190" s="369" t="n">
        <x:f>IF($A190="","",ABS(2/(T190+2*V190)-'02_Constants'!$D$7)/'02_Constants'!$D$7)</x:f>
        <x:v>0.0001586961684284228</x:v>
      </x:c>
      <x:c r="E190" s="369" t="n">
        <x:f>IF($A190="","",ABS((T190+2*V190)/2-'02_Constants'!$D$8)/'02_Constants'!$D$8)</x:f>
        <x:v>0.00039195420357071917</x:v>
      </x:c>
      <x:c r="F190" s="369" t="n">
        <x:f>IF($A190="","",ABS((T190+2*V190)/V190-'02_Constants'!$D$9)/'02_Constants'!$D$9)</x:f>
        <x:v>0.00039195420357070914</x:v>
      </x:c>
      <x:c r="G190" s="369" t="n">
        <x:f>IF($A190="","",ABS(V190-'02_Constants'!$D$10)/'02_Constants'!$D$10)</x:f>
        <x:v>0</x:v>
      </x:c>
      <x:c r="H190" s="369" t="n">
        <x:f>IF($A190="","",ABS((W190+1)/W190-'02_Constants'!$D$11)/'02_Constants'!$D$11)</x:f>
        <x:v>0.0005488368969052104</x:v>
      </x:c>
      <x:c r="I190" s="369" t="n">
        <x:f>IF($A190="","",ABS((U190+2*V190)/(W190+1)-'02_Constants'!$D$12)/'02_Constants'!$D$12)</x:f>
        <x:v>0.00010596196023981824</x:v>
      </x:c>
      <x:c r="J190" s="369" t="n">
        <x:f>IF($A190="","",ABS(X190/U190-'02_Constants'!$D$13)/'02_Constants'!$D$13)</x:f>
        <x:v>0.0006942333996631059</x:v>
      </x:c>
      <x:c r="K190" s="369" t="n">
        <x:f>IF($A190="","",ABS(W190/(W190+U190)-'02_Constants'!$D$14)/'02_Constants'!$D$14)</x:f>
        <x:v>0.0003793808438624536</x:v>
      </x:c>
      <x:c r="L190" s="369" t="n">
        <x:f>IF($A190="","",ABS(W190/U190-'02_Constants'!$D$15)/'02_Constants'!$D$15)</x:f>
        <x:v>0.0009938420149269696</x:v>
      </x:c>
      <x:c r="M190" s="369" t="n">
        <x:f>IF($A190="","",ABS(2*A190/(90-A190)-'02_Constants'!$D$16)/'02_Constants'!$D$16)</x:f>
        <x:v>0.000977883573512344</x:v>
      </x:c>
      <x:c r="N190" s="369" t="n">
        <x:f>IF($A190="","",ABS(2*A190/(90-A190)-1-'02_Constants'!$D$17)/'02_Constants'!$D$17)</x:f>
        <x:v>0.0015469890353266669</x:v>
      </x:c>
      <x:c r="O190" s="369" t="n">
        <x:f>IF(A190="","",AVERAGE(C190:N190))</x:f>
        <x:v>0.0005697705128480368</x:v>
      </x:c>
      <x:c r="P190" s="369" t="n">
        <x:f>IF(A190="","",SUMPRODUCT(C190:N190,'03_12_Errors'!$P$4:$AA$4)/SUM('03_12_Errors'!$P$4:$AA$4))</x:f>
        <x:v>0.0006108389381523244</x:v>
      </x:c>
      <x:c r="Q190" s="369" t="n">
        <x:f>IF(A190="","",SQRT(SUMSQ(C190:N190)/12))</x:f>
        <x:v>0.0007087082077231417</x:v>
      </x:c>
      <x:c r="R190" s="369" t="n">
        <x:f>IF(A190="","",MAX(C190:N190))</x:f>
        <x:v>0.0015469890353266669</x:v>
      </x:c>
      <x:c r="S190" s="390" t="n">
        <x:f>IF(A190="","",COUNTIF(C190:N190,"&lt;="&amp;'00_Start'!$B$7))</x:f>
        <x:v>11</x:v>
      </x:c>
      <x:c r="T190" s="365" t="n">
        <x:f>IF(A190="","",0.5*TAN(RADIANS(A190)))</x:f>
        <x:v>0.6370322595812135</x:v>
      </x:c>
      <x:c r="U190" s="365" t="n">
        <x:f>IF(A190="","",0.5)</x:f>
        <x:v>0.5</x:v>
      </x:c>
      <x:c r="V190" s="365" t="n">
        <x:f>IF(A190="","",SQRT(2))</x:f>
        <x:v>1.4142135623730951</x:v>
      </x:c>
      <x:c r="W190" s="365" t="n">
        <x:f>IF(A190="","",SQRT(T190^2+U190^2))</x:f>
        <x:v>0.8098210294547472</x:v>
      </x:c>
      <x:c r="X190" s="365" t="n">
        <x:f>IF(A190="","",SQRT(T190^2+2*U190^2))</x:f>
        <x:v>0.9517405632561567</x:v>
      </x:c>
      <x:c r="Y190" s="127"/>
      <x:c r="Z190" s="127"/>
      <x:c r="AA190" s="127"/>
      <x:c r="AB190" s="127"/>
      <x:c r="AC190" s="127"/>
      <x:c r="AD190" s="127"/>
      <x:c r="AE190" s="127"/>
      <x:c r="AF190" s="127"/>
      <x:c r="AG190" s="127"/>
      <x:c r="AH190" s="127"/>
      <x:c r="AI190" s="127"/>
      <x:c r="AJ190" s="127"/>
      <x:c r="AK190" s="127"/>
      <x:c r="AL190" s="127"/>
    </x:row>
    <x:row r="191">
      <x:c r="A191" s="367" t="n">
        <x:f>IF(A190="","",IF(A190+'00_Start'!$B$12&lt;='00_Start'!$B$11,A190+'00_Start'!$B$12,""))</x:f>
        <x:v>51.87250000000044</x:v>
      </x:c>
      <x:c r="B191" s="367" t="n">
        <x:f>IF(A191="","",2/TAN(RADIANS(A191)))</x:f>
        <x:v>1.5697510091814382</x:v>
      </x:c>
      <x:c r="C191" s="369" t="n">
        <x:f>IF($A191="","",ABS(2/T191-'02_Constants'!$D$6)/'02_Constants'!$D$6)</x:f>
        <x:v>0.0006654698611317006</x:v>
      </x:c>
      <x:c r="D191" s="369" t="n">
        <x:f>IF($A191="","",ABS(2/(T191+2*V191)-'02_Constants'!$D$7)/'02_Constants'!$D$7)</x:f>
        <x:v>0.00016199856422580573</x:v>
      </x:c>
      <x:c r="E191" s="369" t="n">
        <x:f>IF($A191="","",ABS((T191+2*V191)/2-'02_Constants'!$D$8)/'02_Constants'!$D$8)</x:f>
        <x:v>0.00039525842903596426</x:v>
      </x:c>
      <x:c r="F191" s="369" t="n">
        <x:f>IF($A191="","",ABS((T191+2*V191)/V191-'02_Constants'!$D$9)/'02_Constants'!$D$9)</x:f>
        <x:v>0.00039525842903601126</x:v>
      </x:c>
      <x:c r="G191" s="369" t="n">
        <x:f>IF($A191="","",ABS(V191-'02_Constants'!$D$10)/'02_Constants'!$D$10)</x:f>
        <x:v>0</x:v>
      </x:c>
      <x:c r="H191" s="369" t="n">
        <x:f>IF($A191="","",ABS((W191+1)/W191-'02_Constants'!$D$11)/'02_Constants'!$D$11)</x:f>
        <x:v>0.0005549768666078777</x:v>
      </x:c>
      <x:c r="I191" s="369" t="n">
        <x:f>IF($A191="","",ABS((U191+2*V191)/(W191+1)-'02_Constants'!$D$12)/'02_Constants'!$D$12)</x:f>
        <x:v>0.0001109364706914494</x:v>
      </x:c>
      <x:c r="J191" s="369" t="n">
        <x:f>IF($A191="","",ABS(X191/U191-'02_Constants'!$D$13)/'02_Constants'!$D$13)</x:f>
        <x:v>0.000702288818287231</x:v>
      </x:c>
      <x:c r="K191" s="369" t="n">
        <x:f>IF($A191="","",ABS(W191/(W191+U191)-'02_Constants'!$D$14)/'02_Constants'!$D$14)</x:f>
        <x:v>0.00038362669634670423</x:v>
      </x:c>
      <x:c r="L191" s="369" t="n">
        <x:f>IF($A191="","",ABS(W191/U191-'02_Constants'!$D$15)/'02_Constants'!$D$15)</x:f>
        <x:v>0.0010049715369987848</x:v>
      </x:c>
      <x:c r="M191" s="369" t="n">
        <x:f>IF($A191="","",ABS(2*A191/(90-A191)-'02_Constants'!$D$16)/'02_Constants'!$D$16)</x:f>
        <x:v>0.0010006589556634219</x:v>
      </x:c>
      <x:c r="N191" s="369" t="n">
        <x:f>IF($A191="","",ABS(2*A191/(90-A191)-1-'02_Constants'!$D$17)/'02_Constants'!$D$17)</x:f>
        <x:v>0.0015830191593797192</x:v>
      </x:c>
      <x:c r="O191" s="369" t="n">
        <x:f>IF(A191="","",AVERAGE(C191:N191))</x:f>
        <x:v>0.0005798719822837224</x:v>
      </x:c>
      <x:c r="P191" s="369" t="n">
        <x:f>IF(A191="","",SUMPRODUCT(C191:N191,'03_12_Errors'!$P$4:$AA$4)/SUM('03_12_Errors'!$P$4:$AA$4))</x:f>
        <x:v>0.0006226496191748334</x:v>
      </x:c>
      <x:c r="Q191" s="369" t="n">
        <x:f>IF(A191="","",SQRT(SUMSQ(C191:N191)/12))</x:f>
        <x:v>0.0007222345629171072</x:v>
      </x:c>
      <x:c r="R191" s="369" t="n">
        <x:f>IF(A191="","",MAX(C191:N191))</x:f>
        <x:v>0.0015830191593797192</x:v>
      </x:c>
      <x:c r="S191" s="390" t="n">
        <x:f>IF(A191="","",COUNTIF(C191:N191,"&lt;="&amp;'00_Start'!$B$7))</x:f>
        <x:v>9</x:v>
      </x:c>
      <x:c r="T191" s="365" t="n">
        <x:f>IF(A191="","",0.5*TAN(RADIANS(A191)))</x:f>
        <x:v>0.6370437057539843</x:v>
      </x:c>
      <x:c r="U191" s="365" t="n">
        <x:f>IF(A191="","",0.5)</x:f>
        <x:v>0.5</x:v>
      </x:c>
      <x:c r="V191" s="365" t="n">
        <x:f>IF(A191="","",SQRT(2))</x:f>
        <x:v>1.4142135623730951</x:v>
      </x:c>
      <x:c r="W191" s="365" t="n">
        <x:f>IF(A191="","",SQRT(T191^2+U191^2))</x:f>
        <x:v>0.8098300334272426</x:v>
      </x:c>
      <x:c r="X191" s="365" t="n">
        <x:f>IF(A191="","",SQRT(T191^2+2*U191^2))</x:f>
        <x:v>0.9517482246060504</x:v>
      </x:c>
      <x:c r="Y191" s="127"/>
      <x:c r="Z191" s="127"/>
      <x:c r="AA191" s="127"/>
      <x:c r="AB191" s="127"/>
      <x:c r="AC191" s="127"/>
      <x:c r="AD191" s="127"/>
      <x:c r="AE191" s="127"/>
      <x:c r="AF191" s="127"/>
      <x:c r="AG191" s="127"/>
      <x:c r="AH191" s="127"/>
      <x:c r="AI191" s="127"/>
      <x:c r="AJ191" s="127"/>
      <x:c r="AK191" s="127"/>
      <x:c r="AL191" s="127"/>
    </x:row>
    <x:row r="192">
      <x:c r="A192" s="367" t="n">
        <x:f>IF(A191="","",IF(A191+'00_Start'!$B$12&lt;='00_Start'!$B$11,A191+'00_Start'!$B$12,""))</x:f>
        <x:v>51.873000000000445</x:v>
      </x:c>
      <x:c r="B192" s="367" t="n">
        <x:f>IF(A192="","",2/TAN(RADIANS(A192)))</x:f>
        <x:v>1.56972280433803</x:v>
      </x:c>
      <x:c r="C192" s="369" t="n">
        <x:f>IF($A192="","",ABS(2/T192-'02_Constants'!$D$6)/'02_Constants'!$D$6)</x:f>
        <x:v>0.0006834256221218621</x:v>
      </x:c>
      <x:c r="D192" s="369" t="n">
        <x:f>IF($A192="","",ABS(2/(T192+2*V192)-'02_Constants'!$D$7)/'02_Constants'!$D$7)</x:f>
        <x:v>0.00016530101164388846</x:v>
      </x:c>
      <x:c r="E192" s="369" t="n">
        <x:f>IF($A192="","",ABS((T192+2*V192)/2-'02_Constants'!$D$8)/'02_Constants'!$D$8)</x:f>
        <x:v>0.00039856272797812633</x:v>
      </x:c>
      <x:c r="F192" s="369" t="n">
        <x:f>IF($A192="","",ABS((T192+2*V192)/V192-'02_Constants'!$D$9)/'02_Constants'!$D$9)</x:f>
        <x:v>0.0003985627279780346</x:v>
      </x:c>
      <x:c r="G192" s="369" t="n">
        <x:f>IF($A192="","",ABS(V192-'02_Constants'!$D$10)/'02_Constants'!$D$10)</x:f>
        <x:v>0</x:v>
      </x:c>
      <x:c r="H192" s="369" t="n">
        <x:f>IF($A192="","",ABS((W192+1)/W192-'02_Constants'!$D$11)/'02_Constants'!$D$11)</x:f>
        <x:v>0.0005611168783656666</x:v>
      </x:c>
      <x:c r="I192" s="369" t="n">
        <x:f>IF($A192="","",ABS((U192+2*V192)/(W192+1)-'02_Constants'!$D$12)/'02_Constants'!$D$12)</x:f>
        <x:v>0.00011591107633683422</x:v>
      </x:c>
      <x:c r="J192" s="369" t="n">
        <x:f>IF($A192="","",ABS(X192/U192-'02_Constants'!$D$13)/'02_Constants'!$D$13)</x:f>
        <x:v>0.0007103444959373231</x:v>
      </x:c>
      <x:c r="K192" s="369" t="n">
        <x:f>IF($A192="","",ABS(W192/(W192+U192)-'02_Constants'!$D$14)/'02_Constants'!$D$14)</x:f>
        <x:v>0.0003878726139536307</x:v>
      </x:c>
      <x:c r="L192" s="369" t="n">
        <x:f>IF($A192="","",ABS(W192/U192-'02_Constants'!$D$15)/'02_Constants'!$D$15)</x:f>
        <x:v>0.0010161013827927569</x:v>
      </x:c>
      <x:c r="M192" s="369" t="n">
        <x:f>IF($A192="","",ABS(2*A192/(90-A192)-'02_Constants'!$D$16)/'02_Constants'!$D$16)</x:f>
        <x:v>0.0010234349351700234</x:v>
      </x:c>
      <x:c r="N192" s="369" t="n">
        <x:f>IF($A192="","",ABS(2*A192/(90-A192)-1-'02_Constants'!$D$17)/'02_Constants'!$D$17)</x:f>
        <x:v>0.0016190502284352962</x:v>
      </x:c>
      <x:c r="O192" s="369" t="n">
        <x:f>IF(A192="","",AVERAGE(C192:N192))</x:f>
        <x:v>0.0005899736417261202</x:v>
      </x:c>
      <x:c r="P192" s="369" t="n">
        <x:f>IF(A192="","",SUMPRODUCT(C192:N192,'03_12_Errors'!$P$4:$AA$4)/SUM('03_12_Errors'!$P$4:$AA$4))</x:f>
        <x:v>0.0006344604817393412</x:v>
      </x:c>
      <x:c r="Q192" s="369" t="n">
        <x:f>IF(A192="","",SQRT(SUMSQ(C192:N192)/12))</x:f>
        <x:v>0.0007357890451126872</x:v>
      </x:c>
      <x:c r="R192" s="369" t="n">
        <x:f>IF(A192="","",MAX(C192:N192))</x:f>
        <x:v>0.0016190502284352962</x:v>
      </x:c>
      <x:c r="S192" s="390" t="n">
        <x:f>IF(A192="","",COUNTIF(C192:N192,"&lt;="&amp;'00_Start'!$B$7))</x:f>
        <x:v>9</x:v>
      </x:c>
      <x:c r="T192" s="365" t="n">
        <x:f>IF(A192="","",0.5*TAN(RADIANS(A192)))</x:f>
        <x:v>0.6370551521812868</x:v>
      </x:c>
      <x:c r="U192" s="365" t="n">
        <x:f>IF(A192="","",0.5)</x:f>
        <x:v>0.5</x:v>
      </x:c>
      <x:c r="V192" s="365" t="n">
        <x:f>IF(A192="","",SQRT(2))</x:f>
        <x:v>1.4142135623730951</x:v>
      </x:c>
      <x:c r="W192" s="365" t="n">
        <x:f>IF(A192="","",SQRT(T192^2+U192^2))</x:f>
        <x:v>0.8098390376616347</x:v>
      </x:c>
      <x:c r="X192" s="365" t="n">
        <x:f>IF(A192="","",SQRT(T192^2+2*U192^2))</x:f>
        <x:v>0.9517558862022985</x:v>
      </x:c>
      <x:c r="Y192" s="127"/>
      <x:c r="Z192" s="127"/>
      <x:c r="AA192" s="127"/>
      <x:c r="AB192" s="127"/>
      <x:c r="AC192" s="127"/>
      <x:c r="AD192" s="127"/>
      <x:c r="AE192" s="127"/>
      <x:c r="AF192" s="127"/>
      <x:c r="AG192" s="127"/>
      <x:c r="AH192" s="127"/>
      <x:c r="AI192" s="127"/>
      <x:c r="AJ192" s="127"/>
      <x:c r="AK192" s="127"/>
      <x:c r="AL192" s="127"/>
    </x:row>
    <x:row r="193">
      <x:c r="A193" s="367" t="n">
        <x:f>IF(A192="","",IF(A192+'00_Start'!$B$12&lt;='00_Start'!$B$11,A192+'00_Start'!$B$12,""))</x:f>
        <x:v>51.87350000000045</x:v>
      </x:c>
      <x:c r="B193" s="367" t="n">
        <x:f>IF(A193="","",2/TAN(RADIANS(A193)))</x:f>
        <x:v>1.569694599880981</x:v>
      </x:c>
      <x:c r="C193" s="369" t="n">
        <x:f>IF($A193="","",ABS(2/T193-'02_Constants'!$D$6)/'02_Constants'!$D$6)</x:f>
        <x:v>0.0007013811371481387</x:v>
      </x:c>
      <x:c r="D193" s="369" t="n">
        <x:f>IF($A193="","",ABS(2/(T193+2*V193)-'02_Constants'!$D$7)/'02_Constants'!$D$7)</x:f>
        <x:v>0.00016860351068420974</x:v>
      </x:c>
      <x:c r="E193" s="369" t="n">
        <x:f>IF($A193="","",ABS((T193+2*V193)/2-'02_Constants'!$D$8)/'02_Constants'!$D$8)</x:f>
        <x:v>0.00040186710040015404</x:v>
      </x:c>
      <x:c r="F193" s="369" t="n">
        <x:f>IF($A193="","",ABS((T193+2*V193)/V193-'02_Constants'!$D$9)/'02_Constants'!$D$9)</x:f>
        <x:v>0.0004018671004000426</x:v>
      </x:c>
      <x:c r="G193" s="369" t="n">
        <x:f>IF($A193="","",ABS(V193-'02_Constants'!$D$10)/'02_Constants'!$D$10)</x:f>
        <x:v>0</x:v>
      </x:c>
      <x:c r="H193" s="369" t="n">
        <x:f>IF($A193="","",ABS((W193+1)/W193-'02_Constants'!$D$11)/'02_Constants'!$D$11)</x:f>
        <x:v>0.0005672569321773854</x:v>
      </x:c>
      <x:c r="I193" s="369" t="n">
        <x:f>IF($A193="","",ABS((U193+2*V193)/(W193+1)-'02_Constants'!$D$12)/'02_Constants'!$D$12)</x:f>
        <x:v>0.00012088577717802498</x:v>
      </x:c>
      <x:c r="J193" s="369" t="n">
        <x:f>IF($A193="","",ABS(X193/U193-'02_Constants'!$D$13)/'02_Constants'!$D$13)</x:f>
        <x:v>0.0007184004326237717</x:v>
      </x:c>
      <x:c r="K193" s="369" t="n">
        <x:f>IF($A193="","",ABS(W193/(W193+U193)-'02_Constants'!$D$14)/'02_Constants'!$D$14)</x:f>
        <x:v>0.0003921185966839516</x:v>
      </x:c>
      <x:c r="L193" s="369" t="n">
        <x:f>IF($A193="","",ABS(W193/U193-'02_Constants'!$D$15)/'02_Constants'!$D$15)</x:f>
        <x:v>0.0010272315523208251</x:v>
      </x:c>
      <x:c r="M193" s="369" t="n">
        <x:f>IF($A193="","",ABS(2*A193/(90-A193)-'02_Constants'!$D$16)/'02_Constants'!$D$16)</x:f>
        <x:v>0.001046211512056001</x:v>
      </x:c>
      <x:c r="N193" s="369" t="n">
        <x:f>IF($A193="","",ABS(2*A193/(90-A193)-1-'02_Constants'!$D$17)/'02_Constants'!$D$17)</x:f>
        <x:v>0.001655082242531131</x:v>
      </x:c>
      <x:c r="O193" s="369" t="n">
        <x:f>IF(A193="","",AVERAGE(C193:N193))</x:f>
        <x:v>0.0006000754911836363</x:v>
      </x:c>
      <x:c r="P193" s="369" t="n">
        <x:f>IF(A193="","",SUMPRODUCT(C193:N193,'03_12_Errors'!$P$4:$AA$4)/SUM('03_12_Errors'!$P$4:$AA$4))</x:f>
        <x:v>0.000646271525855393</x:v>
      </x:c>
      <x:c r="Q193" s="369" t="n">
        <x:f>IF(A193="","",SQRT(SUMSQ(C193:N193)/12))</x:f>
        <x:v>0.0007493701449328798</x:v>
      </x:c>
      <x:c r="R193" s="369" t="n">
        <x:f>IF(A193="","",MAX(C193:N193))</x:f>
        <x:v>0.001655082242531131</x:v>
      </x:c>
      <x:c r="S193" s="390" t="n">
        <x:f>IF(A193="","",COUNTIF(C193:N193,"&lt;="&amp;'00_Start'!$B$7))</x:f>
        <x:v>9</x:v>
      </x:c>
      <x:c r="T193" s="365" t="n">
        <x:f>IF(A193="","",0.5*TAN(RADIANS(A193)))</x:f>
        <x:v>0.6370665988631311</x:v>
      </x:c>
      <x:c r="U193" s="365" t="n">
        <x:f>IF(A193="","",0.5)</x:f>
        <x:v>0.5</x:v>
      </x:c>
      <x:c r="V193" s="365" t="n">
        <x:f>IF(A193="","",SQRT(2))</x:f>
        <x:v>1.4142135623730951</x:v>
      </x:c>
      <x:c r="W193" s="365" t="n">
        <x:f>IF(A193="","",SQRT(T193^2+U193^2))</x:f>
        <x:v>0.8098480421579332</x:v>
      </x:c>
      <x:c r="X193" s="365" t="n">
        <x:f>IF(A193="","",SQRT(T193^2+2*U193^2))</x:f>
        <x:v>0.9517635480449109</x:v>
      </x:c>
      <x:c r="Y193" s="127"/>
      <x:c r="Z193" s="127"/>
      <x:c r="AA193" s="127"/>
      <x:c r="AB193" s="127"/>
      <x:c r="AC193" s="127"/>
      <x:c r="AD193" s="127"/>
      <x:c r="AE193" s="127"/>
      <x:c r="AF193" s="127"/>
      <x:c r="AG193" s="127"/>
      <x:c r="AH193" s="127"/>
      <x:c r="AI193" s="127"/>
      <x:c r="AJ193" s="127"/>
      <x:c r="AK193" s="127"/>
      <x:c r="AL193" s="127"/>
    </x:row>
    <x:row r="194">
      <x:c r="A194" s="367" t="n">
        <x:f>IF(A193="","",IF(A193+'00_Start'!$B$12&lt;='00_Start'!$B$11,A193+'00_Start'!$B$12,""))</x:f>
        <x:v>51.87400000000045</x:v>
      </x:c>
      <x:c r="B194" s="367" t="n">
        <x:f>IF(A194="","",2/TAN(RADIANS(A194)))</x:f>
        <x:v>1.5696663958102788</x:v>
      </x:c>
      <x:c r="C194" s="369" t="n">
        <x:f>IF($A194="","",ABS(2/T194-'02_Constants'!$D$6)/'02_Constants'!$D$6)</x:f>
        <x:v>0.0007193364062184466</x:v>
      </x:c>
      <x:c r="D194" s="369" t="n">
        <x:f>IF($A194="","",ABS(2/(T194+2*V194)-'02_Constants'!$D$7)/'02_Constants'!$D$7)</x:f>
        <x:v>0.00017190606134830826</x:v>
      </x:c>
      <x:c r="E194" s="369" t="n">
        <x:f>IF($A194="","",ABS((T194+2*V194)/2-'02_Constants'!$D$8)/'02_Constants'!$D$8)</x:f>
        <x:v>0.00040517154630512404</x:v>
      </x:c>
      <x:c r="F194" s="369" t="n">
        <x:f>IF($A194="","",ABS((T194+2*V194)/V194-'02_Constants'!$D$9)/'02_Constants'!$D$9)</x:f>
        <x:v>0.0004051715463051172</x:v>
      </x:c>
      <x:c r="G194" s="369" t="n">
        <x:f>IF($A194="","",ABS(V194-'02_Constants'!$D$10)/'02_Constants'!$D$10)</x:f>
        <x:v>0</x:v>
      </x:c>
      <x:c r="H194" s="369" t="n">
        <x:f>IF($A194="","",ABS((W194+1)/W194-'02_Constants'!$D$11)/'02_Constants'!$D$11)</x:f>
        <x:v>0.0005733970280434314</x:v>
      </x:c>
      <x:c r="I194" s="369" t="n">
        <x:f>IF($A194="","",ABS((U194+2*V194)/(W194+1)-'02_Constants'!$D$12)/'02_Constants'!$D$12)</x:f>
        <x:v>0.00012586057321683255</x:v>
      </x:c>
      <x:c r="J194" s="369" t="n">
        <x:f>IF($A194="","",ABS(X194/U194-'02_Constants'!$D$13)/'02_Constants'!$D$13)</x:f>
        <x:v>0.000726456628357316</x:v>
      </x:c>
      <x:c r="K194" s="369" t="n">
        <x:f>IF($A194="","",ABS(W194/(W194+U194)-'02_Constants'!$D$14)/'02_Constants'!$D$14)</x:f>
        <x:v>0.00039636464453910407</x:v>
      </x:c>
      <x:c r="L194" s="369" t="n">
        <x:f>IF($A194="","",ABS(W194/U194-'02_Constants'!$D$15)/'02_Constants'!$D$15)</x:f>
        <x:v>0.0010383620455958892</x:v>
      </x:c>
      <x:c r="M194" s="369" t="n">
        <x:f>IF($A194="","",ABS(2*A194/(90-A194)-'02_Constants'!$D$16)/'02_Constants'!$D$16)</x:f>
        <x:v>0.0010689886863447166</x:v>
      </x:c>
      <x:c r="N194" s="369" t="n">
        <x:f>IF($A194="","",ABS(2*A194/(90-A194)-1-'02_Constants'!$D$17)/'02_Constants'!$D$17)</x:f>
        <x:v>0.001691115201704182</x:v>
      </x:c>
      <x:c r="O194" s="369" t="n">
        <x:f>IF(A194="","",AVERAGE(C194:N194))</x:f>
        <x:v>0.0006101775306648724</x:v>
      </x:c>
      <x:c r="P194" s="369" t="n">
        <x:f>IF(A194="","",SUMPRODUCT(C194:N194,'03_12_Errors'!$P$4:$AA$4)/SUM('03_12_Errors'!$P$4:$AA$4))</x:f>
        <x:v>0.0006580827515326726</x:v>
      </x:c>
      <x:c r="Q194" s="369" t="n">
        <x:f>IF(A194="","",SQRT(SUMSQ(C194:N194)/12))</x:f>
        <x:v>0.0007629764575767602</x:v>
      </x:c>
      <x:c r="R194" s="369" t="n">
        <x:f>IF(A194="","",MAX(C194:N194))</x:f>
        <x:v>0.001691115201704182</x:v>
      </x:c>
      <x:c r="S194" s="390" t="n">
        <x:f>IF(A194="","",COUNTIF(C194:N194,"&lt;="&amp;'00_Start'!$B$7))</x:f>
        <x:v>9</x:v>
      </x:c>
      <x:c r="T194" s="365" t="n">
        <x:f>IF(A194="","",0.5*TAN(RADIANS(A194)))</x:f>
        <x:v>0.6370780457995274</x:v>
      </x:c>
      <x:c r="U194" s="365" t="n">
        <x:f>IF(A194="","",0.5)</x:f>
        <x:v>0.5</x:v>
      </x:c>
      <x:c r="V194" s="365" t="n">
        <x:f>IF(A194="","",SQRT(2))</x:f>
        <x:v>1.4142135623730951</x:v>
      </x:c>
      <x:c r="W194" s="365" t="n">
        <x:f>IF(A194="","",SQRT(T194^2+U194^2))</x:f>
        <x:v>0.8098570469161485</x:v>
      </x:c>
      <x:c r="X194" s="365" t="n">
        <x:f>IF(A194="","",SQRT(T194^2+2*U194^2))</x:f>
        <x:v>0.951771210133898</x:v>
      </x:c>
      <x:c r="Y194" s="127"/>
      <x:c r="Z194" s="127"/>
      <x:c r="AA194" s="127"/>
      <x:c r="AB194" s="127"/>
      <x:c r="AC194" s="127"/>
      <x:c r="AD194" s="127"/>
      <x:c r="AE194" s="127"/>
      <x:c r="AF194" s="127"/>
      <x:c r="AG194" s="127"/>
      <x:c r="AH194" s="127"/>
      <x:c r="AI194" s="127"/>
      <x:c r="AJ194" s="127"/>
      <x:c r="AK194" s="127"/>
      <x:c r="AL194" s="127"/>
    </x:row>
    <x:row r="195">
      <x:c r="A195" s="367" t="n">
        <x:f>IF(A194="","",IF(A194+'00_Start'!$B$12&lt;='00_Start'!$B$11,A194+'00_Start'!$B$12,""))</x:f>
        <x:v>51.87450000000045</x:v>
      </x:c>
      <x:c r="B195" s="367" t="n">
        <x:f>IF(A195="","",2/TAN(RADIANS(A195)))</x:f>
        <x:v>1.5696381921259108</x:v>
      </x:c>
      <x:c r="C195" s="369" t="n">
        <x:f>IF($A195="","",ABS(2/T195-'02_Constants'!$D$6)/'02_Constants'!$D$6)</x:f>
        <x:v>0.0007372914293407016</x:v>
      </x:c>
      <x:c r="D195" s="369" t="n">
        <x:f>IF($A195="","",ABS(2/(T195+2*V195)-'02_Constants'!$D$7)/'02_Constants'!$D$7)</x:f>
        <x:v>0.00017520866363810746</x:v>
      </x:c>
      <x:c r="E195" s="369" t="n">
        <x:f>IF($A195="","",ABS((T195+2*V195)/2-'02_Constants'!$D$8)/'02_Constants'!$D$8)</x:f>
        <x:v>0.0004084760656958567</x:v>
      </x:c>
      <x:c r="F195" s="369" t="n">
        <x:f>IF($A195="","",ABS((T195+2*V195)/V195-'02_Constants'!$D$9)/'02_Constants'!$D$9)</x:f>
        <x:v>0.0004084760656957967</x:v>
      </x:c>
      <x:c r="G195" s="369" t="n">
        <x:f>IF($A195="","",ABS(V195-'02_Constants'!$D$10)/'02_Constants'!$D$10)</x:f>
        <x:v>0</x:v>
      </x:c>
      <x:c r="H195" s="369" t="n">
        <x:f>IF($A195="","",ABS((W195+1)/W195-'02_Constants'!$D$11)/'02_Constants'!$D$11)</x:f>
        <x:v>0.000579537165962613</x:v>
      </x:c>
      <x:c r="I195" s="369" t="n">
        <x:f>IF($A195="","",ABS((U195+2*V195)/(W195+1)-'02_Constants'!$D$12)/'02_Constants'!$D$12)</x:f>
        <x:v>0.0001308354644557921</x:v>
      </x:c>
      <x:c r="J195" s="369" t="n">
        <x:f>IF($A195="","",ABS(X195/U195-'02_Constants'!$D$13)/'02_Constants'!$D$13)</x:f>
        <x:v>0.0007345130831486956</x:v>
      </x:c>
      <x:c r="K195" s="369" t="n">
        <x:f>IF($A195="","",ABS(W195/(W195+U195)-'02_Constants'!$D$14)/'02_Constants'!$D$14)</x:f>
        <x:v>0.00040061075751926767</x:v>
      </x:c>
      <x:c r="L195" s="369" t="n">
        <x:f>IF($A195="","",ABS(W195/U195-'02_Constants'!$D$15)/'02_Constants'!$D$15)</x:f>
        <x:v>0.0010494928626304373</x:v>
      </x:c>
      <x:c r="M195" s="369" t="n">
        <x:f>IF($A195="","",ABS(2*A195/(90-A195)-'02_Constants'!$D$16)/'02_Constants'!$D$16)</x:f>
        <x:v>0.0010917664580596957</x:v>
      </x:c>
      <x:c r="N195" s="369" t="n">
        <x:f>IF($A195="","",ABS(2*A195/(90-A195)-1-'02_Constants'!$D$17)/'02_Constants'!$D$17)</x:f>
        <x:v>0.0017271491059916663</x:v>
      </x:c>
      <x:c r="O195" s="369" t="n">
        <x:f>IF(A195="","",AVERAGE(C195:N195))</x:f>
        <x:v>0.0006202797601782191</x:v>
      </x:c>
      <x:c r="P195" s="369" t="n">
        <x:f>IF(A195="","",SUMPRODUCT(C195:N195,'03_12_Errors'!$P$4:$AA$4)/SUM('03_12_Errors'!$P$4:$AA$4))</x:f>
        <x:v>0.0006698941587808162</x:v>
      </x:c>
      <x:c r="Q195" s="369" t="n">
        <x:f>IF(A195="","",SQRT(SUMSQ(C195:N195)/12))</x:f>
        <x:v>0.0007766066741449705</x:v>
      </x:c>
      <x:c r="R195" s="369" t="n">
        <x:f>IF(A195="","",MAX(C195:N195))</x:f>
        <x:v>0.0017271491059916663</x:v>
      </x:c>
      <x:c r="S195" s="390" t="n">
        <x:f>IF(A195="","",COUNTIF(C195:N195,"&lt;="&amp;'00_Start'!$B$7))</x:f>
        <x:v>9</x:v>
      </x:c>
      <x:c r="T195" s="365" t="n">
        <x:f>IF(A195="","",0.5*TAN(RADIANS(A195)))</x:f>
        <x:v>0.6370894929904862</x:v>
      </x:c>
      <x:c r="U195" s="365" t="n">
        <x:f>IF(A195="","",0.5)</x:f>
        <x:v>0.5</x:v>
      </x:c>
      <x:c r="V195" s="365" t="n">
        <x:f>IF(A195="","",SQRT(2))</x:f>
        <x:v>1.4142135623730951</x:v>
      </x:c>
      <x:c r="W195" s="365" t="n">
        <x:f>IF(A195="","",SQRT(T195^2+U195^2))</x:f>
        <x:v>0.8098660519362907</x:v>
      </x:c>
      <x:c r="X195" s="365" t="n">
        <x:f>IF(A195="","",SQRT(T195^2+2*U195^2))</x:f>
        <x:v>0.9517788724692698</x:v>
      </x:c>
      <x:c r="Y195" s="127"/>
      <x:c r="Z195" s="127"/>
      <x:c r="AA195" s="127"/>
      <x:c r="AB195" s="127"/>
      <x:c r="AC195" s="127"/>
      <x:c r="AD195" s="127"/>
      <x:c r="AE195" s="127"/>
      <x:c r="AF195" s="127"/>
      <x:c r="AG195" s="127"/>
      <x:c r="AH195" s="127"/>
      <x:c r="AI195" s="127"/>
      <x:c r="AJ195" s="127"/>
      <x:c r="AK195" s="127"/>
      <x:c r="AL195" s="127"/>
    </x:row>
    <x:row r="196">
      <x:c r="A196" s="367" t="n">
        <x:f>IF(A195="","",IF(A195+'00_Start'!$B$12&lt;='00_Start'!$B$11,A195+'00_Start'!$B$12,""))</x:f>
        <x:v>51.875000000000455</x:v>
      </x:c>
      <x:c r="B196" s="367" t="n">
        <x:f>IF(A196="","",2/TAN(RADIANS(A196)))</x:f>
        <x:v>1.5696099888278656</x:v>
      </x:c>
      <x:c r="C196" s="369" t="n">
        <x:f>IF($A196="","",ABS(2/T196-'02_Constants'!$D$6)/'02_Constants'!$D$6)</x:f>
        <x:v>0.0007552462065222544</x:v>
      </x:c>
      <x:c r="D196" s="369" t="n">
        <x:f>IF($A196="","",ABS(2/(T196+2*V196)-'02_Constants'!$D$7)/'02_Constants'!$D$7)</x:f>
        <x:v>0.0001785113175553384</x:v>
      </x:c>
      <x:c r="E196" s="369" t="n">
        <x:f>IF($A196="","",ABS((T196+2*V196)/2-'02_Constants'!$D$8)/'02_Constants'!$D$8)</x:f>
        <x:v>0.00041178065857530057</x:v>
      </x:c>
      <x:c r="F196" s="369" t="n">
        <x:f>IF($A196="","",ABS((T196+2*V196)/V196-'02_Constants'!$D$9)/'02_Constants'!$D$9)</x:f>
        <x:v>0.0004117806585753444</x:v>
      </x:c>
      <x:c r="G196" s="369" t="n">
        <x:f>IF($A196="","",ABS(V196-'02_Constants'!$D$10)/'02_Constants'!$D$10)</x:f>
        <x:v>0</x:v>
      </x:c>
      <x:c r="H196" s="369" t="n">
        <x:f>IF($A196="","",ABS((W196+1)/W196-'02_Constants'!$D$11)/'02_Constants'!$D$11)</x:f>
        <x:v>0.0005856773459349301</x:v>
      </x:c>
      <x:c r="I196" s="369" t="n">
        <x:f>IF($A196="","",ABS((U196+2*V196)/(W196+1)-'02_Constants'!$D$12)/'02_Constants'!$D$12)</x:f>
        <x:v>0.00013581045089647303</x:v>
      </x:c>
      <x:c r="J196" s="369" t="n">
        <x:f>IF($A196="","",ABS(X196/U196-'02_Constants'!$D$13)/'02_Constants'!$D$13)</x:f>
        <x:v>0.0007425697970082996</x:v>
      </x:c>
      <x:c r="K196" s="369" t="n">
        <x:f>IF($A196="","",ABS(W196/(W196+U196)-'02_Constants'!$D$14)/'02_Constants'!$D$14)</x:f>
        <x:v>0.0004048569356258796</x:v>
      </x:c>
      <x:c r="L196" s="369" t="n">
        <x:f>IF($A196="","",ABS(W196/U196-'02_Constants'!$D$15)/'02_Constants'!$D$15)</x:f>
        <x:v>0.0010606240034368203</x:v>
      </x:c>
      <x:c r="M196" s="369" t="n">
        <x:f>IF($A196="","",ABS(2*A196/(90-A196)-'02_Constants'!$D$16)/'02_Constants'!$D$16)</x:f>
        <x:v>0.0011145448272244641</x:v>
      </x:c>
      <x:c r="N196" s="369" t="n">
        <x:f>IF($A196="","",ABS(2*A196/(90-A196)-1-'02_Constants'!$D$17)/'02_Constants'!$D$17)</x:f>
        <x:v>0.0017631839554308002</x:v>
      </x:c>
      <x:c r="O196" s="369" t="n">
        <x:f>IF(A196="","",AVERAGE(C196:N196))</x:f>
        <x:v>0.0006303821797321588</x:v>
      </x:c>
      <x:c r="P196" s="369" t="n">
        <x:f>IF(A196="","",SUMPRODUCT(C196:N196,'03_12_Errors'!$P$4:$AA$4)/SUM('03_12_Errors'!$P$4:$AA$4))</x:f>
        <x:v>0.0006817057476093107</x:v>
      </x:c>
      <x:c r="Q196" s="369" t="n">
        <x:f>IF(A196="","",SQRT(SUMSQ(C196:N196)/12))</x:f>
        <x:v>0.0007902595737915393</x:v>
      </x:c>
      <x:c r="R196" s="369" t="n">
        <x:f>IF(A196="","",MAX(C196:N196))</x:f>
        <x:v>0.0017631839554308002</x:v>
      </x:c>
      <x:c r="S196" s="390" t="n">
        <x:f>IF(A196="","",COUNTIF(C196:N196,"&lt;="&amp;'00_Start'!$B$7))</x:f>
        <x:v>9</x:v>
      </x:c>
      <x:c r="T196" s="365" t="n">
        <x:f>IF(A196="","",0.5*TAN(RADIANS(A196)))</x:f>
        <x:v>0.6371009404360174</x:v>
      </x:c>
      <x:c r="U196" s="365" t="n">
        <x:f>IF(A196="","",0.5)</x:f>
        <x:v>0.5</x:v>
      </x:c>
      <x:c r="V196" s="365" t="n">
        <x:f>IF(A196="","",SQRT(2))</x:f>
        <x:v>1.4142135623730951</x:v>
      </x:c>
      <x:c r="W196" s="365" t="n">
        <x:f>IF(A196="","",SQRT(T196^2+U196^2))</x:f>
        <x:v>0.8098750572183698</x:v>
      </x:c>
      <x:c r="X196" s="365" t="n">
        <x:f>IF(A196="","",SQRT(T196^2+2*U196^2))</x:f>
        <x:v>0.9517865350510364</x:v>
      </x:c>
      <x:c r="Y196" s="127"/>
      <x:c r="Z196" s="127"/>
      <x:c r="AA196" s="127"/>
      <x:c r="AB196" s="127"/>
      <x:c r="AC196" s="127"/>
      <x:c r="AD196" s="127"/>
      <x:c r="AE196" s="127"/>
      <x:c r="AF196" s="127"/>
      <x:c r="AG196" s="127"/>
      <x:c r="AH196" s="127"/>
      <x:c r="AI196" s="127"/>
      <x:c r="AJ196" s="127"/>
      <x:c r="AK196" s="127"/>
      <x:c r="AL196" s="127"/>
    </x:row>
    <x:row r="197">
      <x:c r="A197" s="367" t="n">
        <x:f>IF(A196="","",IF(A196+'00_Start'!$B$12&lt;='00_Start'!$B$11,A196+'00_Start'!$B$12,""))</x:f>
        <x:v>51.87550000000046</x:v>
      </x:c>
      <x:c r="B197" s="367" t="n">
        <x:f>IF(A197="","",2/TAN(RADIANS(A197)))</x:f>
        <x:v>1.5695817859161303</x:v>
      </x:c>
      <x:c r="C197" s="369" t="n">
        <x:f>IF($A197="","",ABS(2/T197-'02_Constants'!$D$6)/'02_Constants'!$D$6)</x:f>
        <x:v>0.0007732007377713038</x:v>
      </x:c>
      <x:c r="D197" s="369" t="n">
        <x:f>IF($A197="","",ABS(2/(T197+2*V197)-'02_Constants'!$D$7)/'02_Constants'!$D$7)</x:f>
        <x:v>0.00018181402310153978</x:v>
      </x:c>
      <x:c r="E197" s="369" t="n">
        <x:f>IF($A197="","",ABS((T197+2*V197)/2-'02_Constants'!$D$8)/'02_Constants'!$D$8)</x:f>
        <x:v>0.0004150853249465324</x:v>
      </x:c>
      <x:c r="F197" s="369" t="n">
        <x:f>IF($A197="","",ABS((T197+2*V197)/V197-'02_Constants'!$D$9)/'02_Constants'!$D$9)</x:f>
        <x:v>0.00041508532494647987</x:v>
      </x:c>
      <x:c r="G197" s="369" t="n">
        <x:f>IF($A197="","",ABS(V197-'02_Constants'!$D$10)/'02_Constants'!$D$10)</x:f>
        <x:v>0</x:v>
      </x:c>
      <x:c r="H197" s="369" t="n">
        <x:f>IF($A197="","",ABS((W197+1)/W197-'02_Constants'!$D$11)/'02_Constants'!$D$11)</x:f>
        <x:v>0.0005918175679597869</x:v>
      </x:c>
      <x:c r="I197" s="369" t="n">
        <x:f>IF($A197="","",ABS((U197+2*V197)/(W197+1)-'02_Constants'!$D$12)/'02_Constants'!$D$12)</x:f>
        <x:v>0.0001407855325408069</x:v>
      </x:c>
      <x:c r="J197" s="369" t="n">
        <x:f>IF($A197="","",ABS(X197/U197-'02_Constants'!$D$13)/'02_Constants'!$D$13)</x:f>
        <x:v>0.0007506267699468674</x:v>
      </x:c>
      <x:c r="K197" s="369" t="n">
        <x:f>IF($A197="","",ABS(W197/(W197+U197)-'02_Constants'!$D$14)/'02_Constants'!$D$14)</x:f>
        <x:v>0.00040910317885965833</x:v>
      </x:c>
      <x:c r="L197" s="369" t="n">
        <x:f>IF($A197="","",ABS(W197/U197-'02_Constants'!$D$15)/'02_Constants'!$D$15)</x:f>
        <x:v>0.001071755468027526</x:v>
      </x:c>
      <x:c r="M197" s="369" t="n">
        <x:f>IF($A197="","",ABS(2*A197/(90-A197)-'02_Constants'!$D$16)/'02_Constants'!$D$16)</x:f>
        <x:v>0.0011373237938623836</x:v>
      </x:c>
      <x:c r="N197" s="369" t="n">
        <x:f>IF($A197="","",ABS(2*A197/(90-A197)-1-'02_Constants'!$D$17)/'02_Constants'!$D$17)</x:f>
        <x:v>0.001799219750058542</x:v>
      </x:c>
      <x:c r="O197" s="369" t="n">
        <x:f>IF(A197="","",AVERAGE(C197:N197))</x:f>
        <x:v>0.000640484789335119</x:v>
      </x:c>
      <x:c r="P197" s="369" t="n">
        <x:f>IF(A197="","",SUMPRODUCT(C197:N197,'03_12_Errors'!$P$4:$AA$4)/SUM('03_12_Errors'!$P$4:$AA$4))</x:f>
        <x:v>0.0006935175180277694</x:v>
      </x:c>
      <x:c r="Q197" s="369" t="n">
        <x:f>IF(A197="","",SQRT(SUMSQ(C197:N197)/12))</x:f>
        <x:v>0.0008039340166137226</x:v>
      </x:c>
      <x:c r="R197" s="369" t="n">
        <x:f>IF(A197="","",MAX(C197:N197))</x:f>
        <x:v>0.001799219750058542</x:v>
      </x:c>
      <x:c r="S197" s="390" t="n">
        <x:f>IF(A197="","",COUNTIF(C197:N197,"&lt;="&amp;'00_Start'!$B$7))</x:f>
        <x:v>9</x:v>
      </x:c>
      <x:c r="T197" s="365" t="n">
        <x:f>IF(A197="","",0.5*TAN(RADIANS(A197)))</x:f>
        <x:v>0.6371123881361315</x:v>
      </x:c>
      <x:c r="U197" s="365" t="n">
        <x:f>IF(A197="","",0.5)</x:f>
        <x:v>0.5</x:v>
      </x:c>
      <x:c r="V197" s="365" t="n">
        <x:f>IF(A197="","",SQRT(2))</x:f>
        <x:v>1.4142135623730951</x:v>
      </x:c>
      <x:c r="W197" s="365" t="n">
        <x:f>IF(A197="","",SQRT(T197^2+U197^2))</x:f>
        <x:v>0.809884062762396</x:v>
      </x:c>
      <x:c r="X197" s="365" t="n">
        <x:f>IF(A197="","",SQRT(T197^2+2*U197^2))</x:f>
        <x:v>0.9517941978792078</x:v>
      </x:c>
      <x:c r="Y197" s="127"/>
      <x:c r="Z197" s="127"/>
      <x:c r="AA197" s="127"/>
      <x:c r="AB197" s="127"/>
      <x:c r="AC197" s="127"/>
      <x:c r="AD197" s="127"/>
      <x:c r="AE197" s="127"/>
      <x:c r="AF197" s="127"/>
      <x:c r="AG197" s="127"/>
      <x:c r="AH197" s="127"/>
      <x:c r="AI197" s="127"/>
      <x:c r="AJ197" s="127"/>
      <x:c r="AK197" s="127"/>
      <x:c r="AL197" s="127"/>
    </x:row>
    <x:row r="198">
      <x:c r="A198" s="367" t="n">
        <x:f>IF(A197="","",IF(A197+'00_Start'!$B$12&lt;='00_Start'!$B$11,A197+'00_Start'!$B$12,""))</x:f>
        <x:v>51.87600000000046</x:v>
      </x:c>
      <x:c r="B198" s="367" t="n">
        <x:f>IF(A198="","",2/TAN(RADIANS(A198)))</x:f>
        <x:v>1.5695535833906926</x:v>
      </x:c>
      <x:c r="C198" s="369" t="n">
        <x:f>IF($A198="","",ABS(2/T198-'02_Constants'!$D$6)/'02_Constants'!$D$6)</x:f>
        <x:v>0.0007911550230956246</x:v>
      </x:c>
      <x:c r="D198" s="369" t="n">
        <x:f>IF($A198="","",ABS(2/(T198+2*V198)-'02_Constants'!$D$7)/'02_Constants'!$D$7)</x:f>
        <x:v>0.00018511678027882742</x:v>
      </x:c>
      <x:c r="E198" s="369" t="n">
        <x:f>IF($A198="","",ABS((T198+2*V198)/2-'02_Constants'!$D$8)/'02_Constants'!$D$8)</x:f>
        <x:v>0.00041839006481250073</x:v>
      </x:c>
      <x:c r="F198" s="369" t="n">
        <x:f>IF($A198="","",ABS((T198+2*V198)/V198-'02_Constants'!$D$9)/'02_Constants'!$D$9)</x:f>
        <x:v>0.0004183900648124664</x:v>
      </x:c>
      <x:c r="G198" s="369" t="n">
        <x:f>IF($A198="","",ABS(V198-'02_Constants'!$D$10)/'02_Constants'!$D$10)</x:f>
        <x:v>0</x:v>
      </x:c>
      <x:c r="H198" s="369" t="n">
        <x:f>IF($A198="","",ABS((W198+1)/W198-'02_Constants'!$D$11)/'02_Constants'!$D$11)</x:f>
        <x:v>0.0005979578320365876</x:v>
      </x:c>
      <x:c r="I198" s="369" t="n">
        <x:f>IF($A198="","",ABS((U198+2*V198)/(W198+1)-'02_Constants'!$D$12)/'02_Constants'!$D$12)</x:f>
        <x:v>0.0001457607093910875</x:v>
      </x:c>
      <x:c r="J198" s="369" t="n">
        <x:f>IF($A198="","",ABS(X198/U198-'02_Constants'!$D$13)/'02_Constants'!$D$13)</x:f>
        <x:v>0.0007586840019749052</x:v>
      </x:c>
      <x:c r="K198" s="369" t="n">
        <x:f>IF($A198="","",ABS(W198/(W198+U198)-'02_Constants'!$D$14)/'02_Constants'!$D$14)</x:f>
        <x:v>0.0004133494872213224</x:v>
      </x:c>
      <x:c r="L198" s="369" t="n">
        <x:f>IF($A198="","",ABS(W198/U198-'02_Constants'!$D$15)/'02_Constants'!$D$15)</x:f>
        <x:v>0.0010828872564151795</x:v>
      </x:c>
      <x:c r="M198" s="369" t="n">
        <x:f>IF($A198="","",ABS(2*A198/(90-A198)-'02_Constants'!$D$16)/'02_Constants'!$D$16)</x:f>
        <x:v>0.001160103357997143</x:v>
      </x:c>
      <x:c r="N198" s="369" t="n">
        <x:f>IF($A198="","",ABS(2*A198/(90-A198)-1-'02_Constants'!$D$17)/'02_Constants'!$D$17)</x:f>
        <x:v>0.0018352564899123674</x:v>
      </x:c>
      <x:c r="O198" s="369" t="n">
        <x:f>IF(A198="","",AVERAGE(C198:N198))</x:f>
        <x:v>0.0006505875889956677</x:v>
      </x:c>
      <x:c r="P198" s="369" t="n">
        <x:f>IF(A198="","",SUMPRODUCT(C198:N198,'03_12_Errors'!$P$4:$AA$4)/SUM('03_12_Errors'!$P$4:$AA$4))</x:f>
        <x:v>0.0007053294700458891</x:v>
      </x:c>
      <x:c r="Q198" s="369" t="n">
        <x:f>IF(A198="","",SQRT(SUMSQ(C198:N198)/12))</x:f>
        <x:v>0.0008176289372030164</x:v>
      </x:c>
      <x:c r="R198" s="369" t="n">
        <x:f>IF(A198="","",MAX(C198:N198))</x:f>
        <x:v>0.0018352564899123674</x:v>
      </x:c>
      <x:c r="S198" s="390" t="n">
        <x:f>IF(A198="","",COUNTIF(C198:N198,"&lt;="&amp;'00_Start'!$B$7))</x:f>
        <x:v>9</x:v>
      </x:c>
      <x:c r="T198" s="365" t="n">
        <x:f>IF(A198="","",0.5*TAN(RADIANS(A198)))</x:f>
        <x:v>0.6371238360908386</x:v>
      </x:c>
      <x:c r="U198" s="365" t="n">
        <x:f>IF(A198="","",0.5)</x:f>
        <x:v>0.5</x:v>
      </x:c>
      <x:c r="V198" s="365" t="n">
        <x:f>IF(A198="","",SQRT(2))</x:f>
        <x:v>1.4142135623730951</x:v>
      </x:c>
      <x:c r="W198" s="365" t="n">
        <x:f>IF(A198="","",SQRT(T198^2+U198^2))</x:f>
        <x:v>0.8098930685683794</x:v>
      </x:c>
      <x:c r="X198" s="365" t="n">
        <x:f>IF(A198="","",SQRT(T198^2+2*U198^2))</x:f>
        <x:v>0.9518018609537942</x:v>
      </x:c>
      <x:c r="Y198" s="127"/>
      <x:c r="Z198" s="127"/>
      <x:c r="AA198" s="127"/>
      <x:c r="AB198" s="127"/>
      <x:c r="AC198" s="127"/>
      <x:c r="AD198" s="127"/>
      <x:c r="AE198" s="127"/>
      <x:c r="AF198" s="127"/>
      <x:c r="AG198" s="127"/>
      <x:c r="AH198" s="127"/>
      <x:c r="AI198" s="127"/>
      <x:c r="AJ198" s="127"/>
      <x:c r="AK198" s="127"/>
      <x:c r="AL198" s="127"/>
    </x:row>
    <x:row r="199">
      <x:c r="A199" s="367" t="n">
        <x:f>IF(A198="","",IF(A198+'00_Start'!$B$12&lt;='00_Start'!$B$11,A198+'00_Start'!$B$12,""))</x:f>
        <x:v>51.87650000000046</x:v>
      </x:c>
      <x:c r="B199" s="367" t="n">
        <x:f>IF(A199="","",2/TAN(RADIANS(A199)))</x:f>
        <x:v>1.569525381251541</x:v>
      </x:c>
      <x:c r="C199" s="369" t="n">
        <x:f>IF($A199="","",ABS(2/T199-'02_Constants'!$D$6)/'02_Constants'!$D$6)</x:f>
        <x:v>0.0008091090625025673</x:v>
      </x:c>
      <x:c r="D199" s="369" t="n">
        <x:f>IF($A199="","",ABS(2/(T199+2*V199)-'02_Constants'!$D$7)/'02_Constants'!$D$7)</x:f>
        <x:v>0.0001884195890883553</x:v>
      </x:c>
      <x:c r="E199" s="369" t="n">
        <x:f>IF($A199="","",ABS((T199+2*V199)/2-'02_Constants'!$D$8)/'02_Constants'!$D$8)</x:f>
        <x:v>0.00042169487817602584</x:v>
      </x:c>
      <x:c r="F199" s="369" t="n">
        <x:f>IF($A199="","",ABS((T199+2*V199)/V199-'02_Constants'!$D$9)/'02_Constants'!$D$9)</x:f>
        <x:v>0.0004216948781760235</x:v>
      </x:c>
      <x:c r="G199" s="369" t="n">
        <x:f>IF($A199="","",ABS(V199-'02_Constants'!$D$10)/'02_Constants'!$D$10)</x:f>
        <x:v>0</x:v>
      </x:c>
      <x:c r="H199" s="369" t="n">
        <x:f>IF($A199="","",ABS((W199+1)/W199-'02_Constants'!$D$11)/'02_Constants'!$D$11)</x:f>
        <x:v>0.0006040981381647364</x:v>
      </x:c>
      <x:c r="I199" s="369" t="n">
        <x:f>IF($A199="","",ABS((U199+2*V199)/(W199+1)-'02_Constants'!$D$12)/'02_Constants'!$D$12)</x:f>
        <x:v>0.00015073598144912565</x:v>
      </x:c>
      <x:c r="J199" s="369" t="n">
        <x:f>IF($A199="","",ABS(X199/U199-'02_Constants'!$D$13)/'02_Constants'!$D$13)</x:f>
        <x:v>0.0007667414931029187</x:v>
      </x:c>
      <x:c r="K199" s="369" t="n">
        <x:f>IF($A199="","",ABS(W199/(W199+U199)-'02_Constants'!$D$14)/'02_Constants'!$D$14)</x:f>
        <x:v>0.0004175958607117701</x:v>
      </x:c>
      <x:c r="L199" s="369" t="n">
        <x:f>IF($A199="","",ABS(W199/U199-'02_Constants'!$D$15)/'02_Constants'!$D$15)</x:f>
        <x:v>0.0010940193686119948</x:v>
      </x:c>
      <x:c r="M199" s="369" t="n">
        <x:f>IF($A199="","",ABS(2*A199/(90-A199)-'02_Constants'!$D$16)/'02_Constants'!$D$16)</x:f>
        <x:v>0.0011828835196521044</x:v>
      </x:c>
      <x:c r="N199" s="369" t="n">
        <x:f>IF($A199="","",ABS(2*A199/(90-A199)-1-'02_Constants'!$D$17)/'02_Constants'!$D$17)</x:f>
        <x:v>0.0018712941750292343</x:v>
      </x:c>
      <x:c r="O199" s="369" t="n">
        <x:f>IF(A199="","",AVERAGE(C199:N199))</x:f>
        <x:v>0.0006606905787220714</x:v>
      </x:c>
      <x:c r="P199" s="369" t="n">
        <x:f>IF(A199="","",SUMPRODUCT(C199:N199,'03_12_Errors'!$P$4:$AA$4)/SUM('03_12_Errors'!$P$4:$AA$4))</x:f>
        <x:v>0.0007171416036730418</x:v>
      </x:c>
      <x:c r="Q199" s="369" t="n">
        <x:f>IF(A199="","",SQRT(SUMSQ(C199:N199)/12))</x:f>
        <x:v>0.0008313433387878772</x:v>
      </x:c>
      <x:c r="R199" s="369" t="n">
        <x:f>IF(A199="","",MAX(C199:N199))</x:f>
        <x:v>0.0018712941750292343</x:v>
      </x:c>
      <x:c r="S199" s="390" t="n">
        <x:f>IF(A199="","",COUNTIF(C199:N199,"&lt;="&amp;'00_Start'!$B$7))</x:f>
        <x:v>9</x:v>
      </x:c>
      <x:c r="T199" s="365" t="n">
        <x:f>IF(A199="","",0.5*TAN(RADIANS(A199)))</x:f>
        <x:v>0.6371352843001488</x:v>
      </x:c>
      <x:c r="U199" s="365" t="n">
        <x:f>IF(A199="","",0.5)</x:f>
        <x:v>0.5</x:v>
      </x:c>
      <x:c r="V199" s="365" t="n">
        <x:f>IF(A199="","",SQRT(2))</x:f>
        <x:v>1.4142135623730951</x:v>
      </x:c>
      <x:c r="W199" s="365" t="n">
        <x:f>IF(A199="","",SQRT(T199^2+U199^2))</x:f>
        <x:v>0.8099020746363299</x:v>
      </x:c>
      <x:c r="X199" s="365" t="n">
        <x:f>IF(A199="","",SQRT(T199^2+2*U199^2))</x:f>
        <x:v>0.9518095242748054</x:v>
      </x:c>
      <x:c r="Y199" s="127"/>
      <x:c r="Z199" s="127"/>
      <x:c r="AA199" s="127"/>
      <x:c r="AB199" s="127"/>
      <x:c r="AC199" s="127"/>
      <x:c r="AD199" s="127"/>
      <x:c r="AE199" s="127"/>
      <x:c r="AF199" s="127"/>
      <x:c r="AG199" s="127"/>
      <x:c r="AH199" s="127"/>
      <x:c r="AI199" s="127"/>
      <x:c r="AJ199" s="127"/>
      <x:c r="AK199" s="127"/>
      <x:c r="AL199" s="127"/>
    </x:row>
    <x:row r="200">
      <x:c r="A200" s="367" t="n">
        <x:f>IF(A199="","",IF(A199+'00_Start'!$B$12&lt;='00_Start'!$B$11,A199+'00_Start'!$B$12,""))</x:f>
        <x:v>51.877000000000464</x:v>
      </x:c>
      <x:c r="B200" s="367" t="n">
        <x:f>IF(A200="","",2/TAN(RADIANS(A200)))</x:f>
        <x:v>1.5694971794986625</x:v>
      </x:c>
      <x:c r="C200" s="369" t="n">
        <x:f>IF($A200="","",ABS(2/T200-'02_Constants'!$D$6)/'02_Constants'!$D$6)</x:f>
        <x:v>0.0008270628560004719</x:v>
      </x:c>
      <x:c r="D200" s="369" t="n">
        <x:f>IF($A200="","",ABS(2/(T200+2*V200)-'02_Constants'!$D$7)/'02_Constants'!$D$7)</x:f>
        <x:v>0.00019172244953204686</x:v>
      </x:c>
      <x:c r="E200" s="369" t="n">
        <x:f>IF($A200="","",ABS((T200+2*V200)/2-'02_Constants'!$D$8)/'02_Constants'!$D$8)</x:f>
        <x:v>0.0004249997650400564</x:v>
      </x:c>
      <x:c r="F200" s="369" t="n">
        <x:f>IF($A200="","",ABS((T200+2*V200)/V200-'02_Constants'!$D$9)/'02_Constants'!$D$9)</x:f>
        <x:v>0.00042499976504005194</x:v>
      </x:c>
      <x:c r="G200" s="369" t="n">
        <x:f>IF($A200="","",ABS(V200-'02_Constants'!$D$10)/'02_Constants'!$D$10)</x:f>
        <x:v>0</x:v>
      </x:c>
      <x:c r="H200" s="369" t="n">
        <x:f>IF($A200="","",ABS((W200+1)/W200-'02_Constants'!$D$11)/'02_Constants'!$D$11)</x:f>
        <x:v>0.0006102384863442335</x:v>
      </x:c>
      <x:c r="I200" s="369" t="n">
        <x:f>IF($A200="","",ABS((U200+2*V200)/(W200+1)-'02_Constants'!$D$12)/'02_Constants'!$D$12)</x:f>
        <x:v>0.00015571134871709434</x:v>
      </x:c>
      <x:c r="J200" s="369" t="n">
        <x:f>IF($A200="","",ABS(X200/U200-'02_Constants'!$D$13)/'02_Constants'!$D$13)</x:f>
        <x:v>0.0007747992433418808</x:v>
      </x:c>
      <x:c r="K200" s="369" t="n">
        <x:f>IF($A200="","",ABS(W200/(W200+U200)-'02_Constants'!$D$14)/'02_Constants'!$D$14)</x:f>
        <x:v>0.00042184229933207916</x:v>
      </x:c>
      <x:c r="L200" s="369" t="n">
        <x:f>IF($A200="","",ABS(W200/U200-'02_Constants'!$D$15)/'02_Constants'!$D$15)</x:f>
        <x:v>0.0011051518046310087</x:v>
      </x:c>
      <x:c r="M200" s="369" t="n">
        <x:f>IF($A200="","",ABS(2*A200/(90-A200)-'02_Constants'!$D$16)/'02_Constants'!$D$16)</x:f>
        <x:v>0.0012056642788509566</x:v>
      </x:c>
      <x:c r="N200" s="369" t="n">
        <x:f>IF($A200="","",ABS(2*A200/(90-A200)-1-'02_Constants'!$D$17)/'02_Constants'!$D$17)</x:f>
        <x:v>0.001907332805446618</x:v>
      </x:c>
      <x:c r="O200" s="369" t="n">
        <x:f>IF(A200="","",AVERAGE(C200:N200))</x:f>
        <x:v>0.0006707937585230415</x:v>
      </x:c>
      <x:c r="P200" s="369" t="n">
        <x:f>IF(A200="","",SUMPRODUCT(C200:N200,'03_12_Errors'!$P$4:$AA$4)/SUM('03_12_Errors'!$P$4:$AA$4))</x:f>
        <x:v>0.0007289539189191212</x:v>
      </x:c>
      <x:c r="Q200" s="369" t="n">
        <x:f>IF(A200="","",SQRT(SUMSQ(C200:N200)/12))</x:f>
        <x:v>0.0008450762879089472</x:v>
      </x:c>
      <x:c r="R200" s="369" t="n">
        <x:f>IF(A200="","",MAX(C200:N200))</x:f>
        <x:v>0.001907332805446618</x:v>
      </x:c>
      <x:c r="S200" s="390" t="n">
        <x:f>IF(A200="","",COUNTIF(C200:N200,"&lt;="&amp;'00_Start'!$B$7))</x:f>
        <x:v>9</x:v>
      </x:c>
      <x:c r="T200" s="365" t="n">
        <x:f>IF(A200="","",0.5*TAN(RADIANS(A200)))</x:f>
        <x:v>0.6371467327640726</x:v>
      </x:c>
      <x:c r="U200" s="365" t="n">
        <x:f>IF(A200="","",0.5)</x:f>
        <x:v>0.5</x:v>
      </x:c>
      <x:c r="V200" s="365" t="n">
        <x:f>IF(A200="","",SQRT(2))</x:f>
        <x:v>1.4142135623730951</x:v>
      </x:c>
      <x:c r="W200" s="365" t="n">
        <x:f>IF(A200="","",SQRT(T200^2+U200^2))</x:f>
        <x:v>0.8099110809662581</x:v>
      </x:c>
      <x:c r="X200" s="365" t="n">
        <x:f>IF(A200="","",SQRT(T200^2+2*U200^2))</x:f>
        <x:v>0.9518171878422519</x:v>
      </x:c>
      <x:c r="Y200" s="127"/>
      <x:c r="Z200" s="127"/>
      <x:c r="AA200" s="127"/>
      <x:c r="AB200" s="127"/>
      <x:c r="AC200" s="127"/>
      <x:c r="AD200" s="127"/>
      <x:c r="AE200" s="127"/>
      <x:c r="AF200" s="127"/>
      <x:c r="AG200" s="127"/>
      <x:c r="AH200" s="127"/>
      <x:c r="AI200" s="127"/>
      <x:c r="AJ200" s="127"/>
      <x:c r="AK200" s="127"/>
      <x:c r="AL200" s="127"/>
    </x:row>
    <x:row r="201">
      <x:c r="A201" s="367" t="n">
        <x:f>IF(A200="","",IF(A200+'00_Start'!$B$12&lt;='00_Start'!$B$11,A200+'00_Start'!$B$12,""))</x:f>
        <x:v>51.87750000000047</x:v>
      </x:c>
      <x:c r="B201" s="367" t="n">
        <x:f>IF(A201="","",2/TAN(RADIANS(A201)))</x:f>
        <x:v>1.5694689781320454</x:v>
      </x:c>
      <x:c r="C201" s="369" t="n">
        <x:f>IF($A201="","",ABS(2/T201-'02_Constants'!$D$6)/'02_Constants'!$D$6)</x:f>
        <x:v>0.0008450164035966892</x:v>
      </x:c>
      <x:c r="D201" s="369" t="n">
        <x:f>IF($A201="","",ABS(2/(T201+2*V201)-'02_Constants'!$D$7)/'02_Constants'!$D$7)</x:f>
        <x:v>0.00019502536161163317</x:v>
      </x:c>
      <x:c r="E201" s="369" t="n">
        <x:f>IF($A201="","",ABS((T201+2*V201)/2-'02_Constants'!$D$8)/'02_Constants'!$D$8)</x:f>
        <x:v>0.00042830472540766906</x:v>
      </x:c>
      <x:c r="F201" s="369" t="n">
        <x:f>IF($A201="","",ABS((T201+2*V201)/V201-'02_Constants'!$D$9)/'02_Constants'!$D$9)</x:f>
        <x:v>0.0004283047254076338</x:v>
      </x:c>
      <x:c r="G201" s="369" t="n">
        <x:f>IF($A201="","",ABS(V201-'02_Constants'!$D$10)/'02_Constants'!$D$10)</x:f>
        <x:v>0</x:v>
      </x:c>
      <x:c r="H201" s="369" t="n">
        <x:f>IF($A201="","",ABS((W201+1)/W201-'02_Constants'!$D$11)/'02_Constants'!$D$11)</x:f>
        <x:v>0.0006163788765742842</x:v>
      </x:c>
      <x:c r="I201" s="369" t="n">
        <x:f>IF($A201="","",ABS((U201+2*V201)/(W201+1)-'02_Constants'!$D$12)/'02_Constants'!$D$12)</x:f>
        <x:v>0.00016068681119680447</x:v>
      </x:c>
      <x:c r="J201" s="369" t="n">
        <x:f>IF($A201="","",ABS(X201/U201-'02_Constants'!$D$13)/'02_Constants'!$D$13)</x:f>
        <x:v>0.0007828572527019473</x:v>
      </x:c>
      <x:c r="K201" s="369" t="n">
        <x:f>IF($A201="","",ABS(W201/(W201+U201)-'02_Constants'!$D$14)/'02_Constants'!$D$14)</x:f>
        <x:v>0.00042608880308278856</x:v>
      </x:c>
      <x:c r="L201" s="369" t="n">
        <x:f>IF($A201="","",ABS(W201/U201-'02_Constants'!$D$15)/'02_Constants'!$D$15)</x:f>
        <x:v>0.0011162845644840228</x:v>
      </x:c>
      <x:c r="M201" s="369" t="n">
        <x:f>IF($A201="","",ABS(2*A201/(90-A201)-'02_Constants'!$D$16)/'02_Constants'!$D$16)</x:f>
        <x:v>0.0012284456356170621</x:v>
      </x:c>
      <x:c r="N201" s="369" t="n">
        <x:f>IF($A201="","",ABS(2*A201/(90-A201)-1-'02_Constants'!$D$17)/'02_Constants'!$D$17)</x:f>
        <x:v>0.0019433723812014765</x:v>
      </x:c>
      <x:c r="O201" s="369" t="n">
        <x:f>IF(A201="","",AVERAGE(C201:N201))</x:f>
        <x:v>0.0006808971284068344</x:v>
      </x:c>
      <x:c r="P201" s="369" t="n">
        <x:f>IF(A201="","",SUMPRODUCT(C201:N201,'03_12_Errors'!$P$4:$AA$4)/SUM('03_12_Errors'!$P$4:$AA$4))</x:f>
        <x:v>0.0007407664157934536</x:v>
      </x:c>
      <x:c r="Q201" s="369" t="n">
        <x:f>IF(A201="","",SQRT(SUMSQ(C201:N201)/12))</x:f>
        <x:v>0.0008588269095701126</x:v>
      </x:c>
      <x:c r="R201" s="369" t="n">
        <x:f>IF(A201="","",MAX(C201:N201))</x:f>
        <x:v>0.0019433723812014765</x:v>
      </x:c>
      <x:c r="S201" s="390" t="n">
        <x:f>IF(A201="","",COUNTIF(C201:N201,"&lt;="&amp;'00_Start'!$B$7))</x:f>
        <x:v>9</x:v>
      </x:c>
      <x:c r="T201" s="365" t="n">
        <x:f>IF(A201="","",0.5*TAN(RADIANS(A201)))</x:f>
        <x:v>0.63715818148262</x:v>
      </x:c>
      <x:c r="U201" s="365" t="n">
        <x:f>IF(A201="","",0.5)</x:f>
        <x:v>0.5</x:v>
      </x:c>
      <x:c r="V201" s="365" t="n">
        <x:f>IF(A201="","",SQRT(2))</x:f>
        <x:v>1.4142135623730951</x:v>
      </x:c>
      <x:c r="W201" s="365" t="n">
        <x:f>IF(A201="","",SQRT(T201^2+U201^2))</x:f>
        <x:v>0.8099200875581735</x:v>
      </x:c>
      <x:c r="X201" s="365" t="n">
        <x:f>IF(A201="","",SQRT(T201^2+2*U201^2))</x:f>
        <x:v>0.9518248516561434</x:v>
      </x:c>
      <x:c r="Y201" s="127"/>
      <x:c r="Z201" s="127"/>
      <x:c r="AA201" s="127"/>
      <x:c r="AB201" s="127"/>
      <x:c r="AC201" s="127"/>
      <x:c r="AD201" s="127"/>
      <x:c r="AE201" s="127"/>
      <x:c r="AF201" s="127"/>
      <x:c r="AG201" s="127"/>
      <x:c r="AH201" s="127"/>
      <x:c r="AI201" s="127"/>
      <x:c r="AJ201" s="127"/>
      <x:c r="AK201" s="127"/>
      <x:c r="AL201" s="127"/>
    </x:row>
    <x:row r="202">
      <x:c r="A202" s="367" t="n">
        <x:f>IF(A201="","",IF(A201+'00_Start'!$B$12&lt;='00_Start'!$B$11,A201+'00_Start'!$B$12,""))</x:f>
        <x:v>51.87800000000047</x:v>
      </x:c>
      <x:c r="B202" s="367" t="n">
        <x:f>IF(A202="","",2/TAN(RADIANS(A202)))</x:f>
        <x:v>1.569440777151677</x:v>
      </x:c>
      <x:c r="C202" s="369" t="n">
        <x:f>IF($A202="","",ABS(2/T202-'02_Constants'!$D$6)/'02_Constants'!$D$6)</x:f>
        <x:v>0.0008629697052994179</x:v>
      </x:c>
      <x:c r="D202" s="369" t="n">
        <x:f>IF($A202="","",ABS(2/(T202+2*V202)-'02_Constants'!$D$7)/'02_Constants'!$D$7)</x:f>
        <x:v>0.00019832832532903764</x:v>
      </x:c>
      <x:c r="E202" s="369" t="n">
        <x:f>IF($A202="","",ABS((T202+2*V202)/2-'02_Constants'!$D$8)/'02_Constants'!$D$8)</x:f>
        <x:v>0.00043160975928181234</x:v>
      </x:c>
      <x:c r="F202" s="369" t="n">
        <x:f>IF($A202="","",ABS((T202+2*V202)/V202-'02_Constants'!$D$9)/'02_Constants'!$D$9)</x:f>
        <x:v>0.00043160975928185116</x:v>
      </x:c>
      <x:c r="G202" s="369" t="n">
        <x:f>IF($A202="","",ABS(V202-'02_Constants'!$D$10)/'02_Constants'!$D$10)</x:f>
        <x:v>0</x:v>
      </x:c>
      <x:c r="H202" s="369" t="n">
        <x:f>IF($A202="","",ABS((W202+1)/W202-'02_Constants'!$D$11)/'02_Constants'!$D$11)</x:f>
        <x:v>0.0006225193088544913</x:v>
      </x:c>
      <x:c r="I202" s="369" t="n">
        <x:f>IF($A202="","",ABS((U202+2*V202)/(W202+1)-'02_Constants'!$D$12)/'02_Constants'!$D$12)</x:f>
        <x:v>0.0001656623688901876</x:v>
      </x:c>
      <x:c r="J202" s="369" t="n">
        <x:f>IF($A202="","",ABS(X202/U202-'02_Constants'!$D$13)/'02_Constants'!$D$13)</x:f>
        <x:v>0.0007909155211940911</x:v>
      </x:c>
      <x:c r="K202" s="369" t="n">
        <x:f>IF($A202="","",ABS(W202/(W202+U202)-'02_Constants'!$D$14)/'02_Constants'!$D$14)</x:f>
        <x:v>0.00043033537196533533</x:v>
      </x:c>
      <x:c r="L202" s="369" t="n">
        <x:f>IF($A202="","",ABS(W202/U202-'02_Constants'!$D$15)/'02_Constants'!$D$15)</x:f>
        <x:v>0.0011274176481840745</x:v>
      </x:c>
      <x:c r="M202" s="369" t="n">
        <x:f>IF($A202="","",ABS(2*A202/(90-A202)-'02_Constants'!$D$16)/'02_Constants'!$D$16)</x:f>
        <x:v>0.001251227589973946</x:v>
      </x:c>
      <x:c r="N202" s="369" t="n">
        <x:f>IF($A202="","",ABS(2*A202/(90-A202)-1-'02_Constants'!$D$17)/'02_Constants'!$D$17)</x:f>
        <x:v>0.0019794129023310266</x:v>
      </x:c>
      <x:c r="O202" s="369" t="n">
        <x:f>IF(A202="","",AVERAGE(C202:N202))</x:f>
        <x:v>0.000691000688382106</x:v>
      </x:c>
      <x:c r="P202" s="369" t="n">
        <x:f>IF(A202="","",SUMPRODUCT(C202:N202,'03_12_Errors'!$P$4:$AA$4)/SUM('03_12_Errors'!$P$4:$AA$4))</x:f>
        <x:v>0.000752579094305842</x:v>
      </x:c>
      <x:c r="Q202" s="369" t="n">
        <x:f>IF(A202="","",SQRT(SUMSQ(C202:N202)/12))</x:f>
        <x:v>0.0008725943828207416</x:v>
      </x:c>
      <x:c r="R202" s="369" t="n">
        <x:f>IF(A202="","",MAX(C202:N202))</x:f>
        <x:v>0.0019794129023310266</x:v>
      </x:c>
      <x:c r="S202" s="390" t="n">
        <x:f>IF(A202="","",COUNTIF(C202:N202,"&lt;="&amp;'00_Start'!$B$7))</x:f>
        <x:v>9</x:v>
      </x:c>
      <x:c r="T202" s="365" t="n">
        <x:f>IF(A202="","",0.5*TAN(RADIANS(A202)))</x:f>
        <x:v>0.6371696304558016</x:v>
      </x:c>
      <x:c r="U202" s="365" t="n">
        <x:f>IF(A202="","",0.5)</x:f>
        <x:v>0.5</x:v>
      </x:c>
      <x:c r="V202" s="365" t="n">
        <x:f>IF(A202="","",SQRT(2))</x:f>
        <x:v>1.4142135623730951</x:v>
      </x:c>
      <x:c r="W202" s="365" t="n">
        <x:f>IF(A202="","",SQRT(T202^2+U202^2))</x:f>
        <x:v>0.8099290944120866</x:v>
      </x:c>
      <x:c r="X202" s="365" t="n">
        <x:f>IF(A202="","",SQRT(T202^2+2*U202^2))</x:f>
        <x:v>0.9518325157164903</x:v>
      </x:c>
      <x:c r="Y202" s="127"/>
      <x:c r="Z202" s="127"/>
      <x:c r="AA202" s="127"/>
      <x:c r="AB202" s="127"/>
      <x:c r="AC202" s="127"/>
      <x:c r="AD202" s="127"/>
      <x:c r="AE202" s="127"/>
      <x:c r="AF202" s="127"/>
      <x:c r="AG202" s="127"/>
      <x:c r="AH202" s="127"/>
      <x:c r="AI202" s="127"/>
      <x:c r="AJ202" s="127"/>
      <x:c r="AK202" s="127"/>
      <x:c r="AL202" s="127"/>
    </x:row>
    <x:row r="203">
      <x:c r="A203" s="367" t="n">
        <x:f>IF(A202="","",IF(A202+'00_Start'!$B$12&lt;='00_Start'!$B$11,A202+'00_Start'!$B$12,""))</x:f>
        <x:v>51.87850000000047</x:v>
      </x:c>
      <x:c r="B203" s="367" t="n">
        <x:f>IF(A203="","",2/TAN(RADIANS(A203)))</x:f>
        <x:v>1.569412576557545</x:v>
      </x:c>
      <x:c r="C203" s="369" t="n">
        <x:f>IF($A203="","",ABS(2/T203-'02_Constants'!$D$6)/'02_Constants'!$D$6)</x:f>
        <x:v>0.0008809227611162914</x:v>
      </x:c>
      <x:c r="D203" s="369" t="n">
        <x:f>IF($A203="","",ABS(2/(T203+2*V203)-'02_Constants'!$D$7)/'02_Constants'!$D$7)</x:f>
        <x:v>0.00020163134068579898</x:v>
      </x:c>
      <x:c r="E203" s="369" t="n">
        <x:f>IF($A203="","",ABS((T203+2*V203)/2-'02_Constants'!$D$8)/'02_Constants'!$D$8)</x:f>
        <x:v>0.0004349148666654349</x:v>
      </x:c>
      <x:c r="F203" s="369" t="n">
        <x:f>IF($A203="","",ABS((T203+2*V203)/V203-'02_Constants'!$D$9)/'02_Constants'!$D$9)</x:f>
        <x:v>0.0004349148666654235</x:v>
      </x:c>
      <x:c r="G203" s="369" t="n">
        <x:f>IF($A203="","",ABS(V203-'02_Constants'!$D$10)/'02_Constants'!$D$10)</x:f>
        <x:v>0</x:v>
      </x:c>
      <x:c r="H203" s="369" t="n">
        <x:f>IF($A203="","",ABS((W203+1)/W203-'02_Constants'!$D$11)/'02_Constants'!$D$11)</x:f>
        <x:v>0.0006286597831844578</x:v>
      </x:c>
      <x:c r="I203" s="369" t="n">
        <x:f>IF($A203="","",ABS((U203+2*V203)/(W203+1)-'02_Constants'!$D$12)/'02_Constants'!$D$12)</x:f>
        <x:v>0.00017063802179977886</x:v>
      </x:c>
      <x:c r="J203" s="369" t="n">
        <x:f>IF($A203="","",ABS(X203/U203-'02_Constants'!$D$13)/'02_Constants'!$D$13)</x:f>
        <x:v>0.0007989740488288183</x:v>
      </x:c>
      <x:c r="K203" s="369" t="n">
        <x:f>IF($A203="","",ABS(W203/(W203+U203)-'02_Constants'!$D$14)/'02_Constants'!$D$14)</x:f>
        <x:v>0.0004345820059800788</x:v>
      </x:c>
      <x:c r="L203" s="369" t="n">
        <x:f>IF($A203="","",ABS(W203/U203-'02_Constants'!$D$15)/'02_Constants'!$D$15)</x:f>
        <x:v>0.0011385510557436515</x:v>
      </x:c>
      <x:c r="M203" s="369" t="n">
        <x:f>IF($A203="","",ABS(2*A203/(90-A203)-'02_Constants'!$D$16)/'02_Constants'!$D$16)</x:f>
        <x:v>0.0012740101419451335</x:v>
      </x:c>
      <x:c r="N203" s="369" t="n">
        <x:f>IF($A203="","",ABS(2*A203/(90-A203)-1-'02_Constants'!$D$17)/'02_Constants'!$D$17)</x:f>
        <x:v>0.002015454368872486</x:v>
      </x:c>
      <x:c r="O203" s="369" t="n">
        <x:f>IF(A203="","",AVERAGE(C203:N203))</x:f>
        <x:v>0.0007011044384572794</x:v>
      </x:c>
      <x:c r="P203" s="369" t="n">
        <x:f>IF(A203="","",SUMPRODUCT(C203:N203,'03_12_Errors'!$P$4:$AA$4)/SUM('03_12_Errors'!$P$4:$AA$4))</x:f>
        <x:v>0.0007643919544658856</x:v>
      </x:c>
      <x:c r="Q203" s="369" t="n">
        <x:f>IF(A203="","",SQRT(SUMSQ(C203:N203)/12))</x:f>
        <x:v>0.0008863779367231381</x:v>
      </x:c>
      <x:c r="R203" s="369" t="n">
        <x:f>IF(A203="","",MAX(C203:N203))</x:f>
        <x:v>0.002015454368872486</x:v>
      </x:c>
      <x:c r="S203" s="390" t="n">
        <x:f>IF(A203="","",COUNTIF(C203:N203,"&lt;="&amp;'00_Start'!$B$7))</x:f>
        <x:v>9</x:v>
      </x:c>
      <x:c r="T203" s="365" t="n">
        <x:f>IF(A203="","",0.5*TAN(RADIANS(A203)))</x:f>
        <x:v>0.6371810796836274</x:v>
      </x:c>
      <x:c r="U203" s="365" t="n">
        <x:f>IF(A203="","",0.5)</x:f>
        <x:v>0.5</x:v>
      </x:c>
      <x:c r="V203" s="365" t="n">
        <x:f>IF(A203="","",SQRT(2))</x:f>
        <x:v>1.4142135623730951</x:v>
      </x:c>
      <x:c r="W203" s="365" t="n">
        <x:f>IF(A203="","",SQRT(T203^2+U203^2))</x:f>
        <x:v>0.8099381015280076</x:v>
      </x:c>
      <x:c r="X203" s="365" t="n">
        <x:f>IF(A203="","",SQRT(T203^2+2*U203^2))</x:f>
        <x:v>0.9518401800233026</x:v>
      </x:c>
      <x:c r="Y203" s="127"/>
      <x:c r="Z203" s="127"/>
      <x:c r="AA203" s="127"/>
      <x:c r="AB203" s="127"/>
      <x:c r="AC203" s="127"/>
      <x:c r="AD203" s="127"/>
      <x:c r="AE203" s="127"/>
      <x:c r="AF203" s="127"/>
      <x:c r="AG203" s="127"/>
      <x:c r="AH203" s="127"/>
      <x:c r="AI203" s="127"/>
      <x:c r="AJ203" s="127"/>
      <x:c r="AK203" s="127"/>
      <x:c r="AL203" s="127"/>
    </x:row>
    <x:row r="204">
      <x:c r="A204" s="367" t="n">
        <x:f>IF(A203="","",IF(A203+'00_Start'!$B$12&lt;='00_Start'!$B$11,A203+'00_Start'!$B$12,""))</x:f>
        <x:v>51.879000000000474</x:v>
      </x:c>
      <x:c r="B204" s="367" t="n">
        <x:f>IF(A204="","",2/TAN(RADIANS(A204)))</x:f>
        <x:v>1.5693843763496382</x:v>
      </x:c>
      <x:c r="C204" s="369" t="n">
        <x:f>IF($A204="","",ABS(2/T204-'02_Constants'!$D$6)/'02_Constants'!$D$6)</x:f>
        <x:v>0.0008988755710546602</x:v>
      </x:c>
      <x:c r="D204" s="369" t="n">
        <x:f>IF($A204="","",ABS(2/(T204+2*V204)-'02_Constants'!$D$7)/'02_Constants'!$D$7)</x:f>
        <x:v>0.00020493440768345596</x:v>
      </x:c>
      <x:c r="E204" s="369" t="n">
        <x:f>IF($A204="","",ABS((T204+2*V204)/2-'02_Constants'!$D$8)/'02_Constants'!$D$8)</x:f>
        <x:v>0.00043822004756148515</x:v>
      </x:c>
      <x:c r="F204" s="369" t="n">
        <x:f>IF($A204="","",ABS((T204+2*V204)/V204-'02_Constants'!$D$9)/'02_Constants'!$D$9)</x:f>
        <x:v>0.00043822004756143294</x:v>
      </x:c>
      <x:c r="G204" s="369" t="n">
        <x:f>IF($A204="","",ABS(V204-'02_Constants'!$D$10)/'02_Constants'!$D$10)</x:f>
        <x:v>0</x:v>
      </x:c>
      <x:c r="H204" s="369" t="n">
        <x:f>IF($A204="","",ABS((W204+1)/W204-'02_Constants'!$D$11)/'02_Constants'!$D$11)</x:f>
        <x:v>0.0006348002995633892</x:v>
      </x:c>
      <x:c r="I204" s="369" t="n">
        <x:f>IF($A204="","",ABS((U204+2*V204)/(W204+1)-'02_Constants'!$D$12)/'02_Constants'!$D$12)</x:f>
        <x:v>0.00017561376992690627</x:v>
      </x:c>
      <x:c r="J204" s="369" t="n">
        <x:f>IF($A204="","",ABS(X204/U204-'02_Constants'!$D$13)/'02_Constants'!$D$13)</x:f>
        <x:v>0.0008070328356165179</x:v>
      </x:c>
      <x:c r="K204" s="369" t="n">
        <x:f>IF($A204="","",ABS(W204/(W204+U204)-'02_Constants'!$D$14)/'02_Constants'!$D$14)</x:f>
        <x:v>0.00043882870512773755</x:v>
      </x:c>
      <x:c r="L204" s="369" t="n">
        <x:f>IF($A204="","",ABS(W204/U204-'02_Constants'!$D$15)/'02_Constants'!$D$15)</x:f>
        <x:v>0.001149684787174693</x:v>
      </x:c>
      <x:c r="M204" s="369" t="n">
        <x:f>IF($A204="","",ABS(2*A204/(90-A204)-'02_Constants'!$D$16)/'02_Constants'!$D$16)</x:f>
        <x:v>0.0012967932915541507</x:v>
      </x:c>
      <x:c r="N204" s="369" t="n">
        <x:f>IF($A204="","",ABS(2*A204/(90-A204)-1-'02_Constants'!$D$17)/'02_Constants'!$D$17)</x:f>
        <x:v>0.00205149678086307</x:v>
      </x:c>
      <x:c r="O204" s="369" t="n">
        <x:f>IF(A204="","",AVERAGE(C204:N204))</x:f>
        <x:v>0.000711208378640625</x:v>
      </x:c>
      <x:c r="P204" s="369" t="n">
        <x:f>IF(A204="","",SUMPRODUCT(C204:N204,'03_12_Errors'!$P$4:$AA$4)/SUM('03_12_Errors'!$P$4:$AA$4))</x:f>
        <x:v>0.0007762049962829044</x:v>
      </x:c>
      <x:c r="Q204" s="369" t="n">
        <x:f>IF(A204="","",SQRT(SUMSQ(C204:N204)/12))</x:f>
        <x:v>0.0009001768466693218</x:v>
      </x:c>
      <x:c r="R204" s="369" t="n">
        <x:f>IF(A204="","",MAX(C204:N204))</x:f>
        <x:v>0.00205149678086307</x:v>
      </x:c>
      <x:c r="S204" s="390" t="n">
        <x:f>IF(A204="","",COUNTIF(C204:N204,"&lt;="&amp;'00_Start'!$B$7))</x:f>
        <x:v>9</x:v>
      </x:c>
      <x:c r="T204" s="365" t="n">
        <x:f>IF(A204="","",0.5*TAN(RADIANS(A204)))</x:f>
        <x:v>0.6371925291661074</x:v>
      </x:c>
      <x:c r="U204" s="365" t="n">
        <x:f>IF(A204="","",0.5)</x:f>
        <x:v>0.5</x:v>
      </x:c>
      <x:c r="V204" s="365" t="n">
        <x:f>IF(A204="","",SQRT(2))</x:f>
        <x:v>1.4142135623730951</x:v>
      </x:c>
      <x:c r="W204" s="365" t="n">
        <x:f>IF(A204="","",SQRT(T204^2+U204^2))</x:f>
        <x:v>0.8099471089059461</x:v>
      </x:c>
      <x:c r="X204" s="365" t="n">
        <x:f>IF(A204="","",SQRT(T204^2+2*U204^2))</x:f>
        <x:v>0.9518478445765902</x:v>
      </x:c>
      <x:c r="Y204" s="127"/>
      <x:c r="Z204" s="127"/>
      <x:c r="AA204" s="127"/>
      <x:c r="AB204" s="127"/>
      <x:c r="AC204" s="127"/>
      <x:c r="AD204" s="127"/>
      <x:c r="AE204" s="127"/>
      <x:c r="AF204" s="127"/>
      <x:c r="AG204" s="127"/>
      <x:c r="AH204" s="127"/>
      <x:c r="AI204" s="127"/>
      <x:c r="AJ204" s="127"/>
      <x:c r="AK204" s="127"/>
      <x:c r="AL204" s="127"/>
    </x:row>
    <x:row r="205">
      <x:c r="A205" s="367" t="n">
        <x:f>IF(A204="","",IF(A204+'00_Start'!$B$12&lt;='00_Start'!$B$11,A204+'00_Start'!$B$12,""))</x:f>
        <x:v>51.879500000000476</x:v>
      </x:c>
      <x:c r="B205" s="367" t="n">
        <x:f>IF(A205="","",2/TAN(RADIANS(A205)))</x:f>
        <x:v>1.5693561765279431</x:v>
      </x:c>
      <x:c r="C205" s="369" t="n">
        <x:f>IF($A205="","",ABS(2/T205-'02_Constants'!$D$6)/'02_Constants'!$D$6)</x:f>
        <x:v>0.0009168281351230058</x:v>
      </x:c>
      <x:c r="D205" s="369" t="n">
        <x:f>IF($A205="","",ABS(2/(T205+2*V205)-'02_Constants'!$D$7)/'02_Constants'!$D$7)</x:f>
        <x:v>0.0002082375263241243</x:v>
      </x:c>
      <x:c r="E205" s="369" t="n">
        <x:f>IF($A205="","",ABS((T205+2*V205)/2-'02_Constants'!$D$8)/'02_Constants'!$D$8)</x:f>
        <x:v>0.0004415253019727835</x:v>
      </x:c>
      <x:c r="F205" s="369" t="n">
        <x:f>IF($A205="","",ABS((T205+2*V205)/V205-'02_Constants'!$D$9)/'02_Constants'!$D$9)</x:f>
        <x:v>0.0004415253019727802</x:v>
      </x:c>
      <x:c r="G205" s="369" t="n">
        <x:f>IF($A205="","",ABS(V205-'02_Constants'!$D$10)/'02_Constants'!$D$10)</x:f>
        <x:v>0</x:v>
      </x:c>
      <x:c r="H205" s="369" t="n">
        <x:f>IF($A205="","",ABS((W205+1)/W205-'02_Constants'!$D$11)/'02_Constants'!$D$11)</x:f>
        <x:v>0.0006409408579912854</x:v>
      </x:c>
      <x:c r="I205" s="369" t="n">
        <x:f>IF($A205="","",ABS((U205+2*V205)/(W205+1)-'02_Constants'!$D$12)/'02_Constants'!$D$12)</x:f>
        <x:v>0.00018058961327398426</x:v>
      </x:c>
      <x:c r="J205" s="369" t="n">
        <x:f>IF($A205="","",ABS(X205/U205-'02_Constants'!$D$13)/'02_Constants'!$D$13)</x:f>
        <x:v>0.0008150918815680461</x:v>
      </x:c>
      <x:c r="K205" s="369" t="n">
        <x:f>IF($A205="","",ABS(W205/(W205+U205)-'02_Constants'!$D$14)/'02_Constants'!$D$14)</x:f>
        <x:v>0.00044307546940992827</x:v>
      </x:c>
      <x:c r="L205" s="369" t="n">
        <x:f>IF($A205="","",ABS(W205/U205-'02_Constants'!$D$15)/'02_Constants'!$D$15)</x:f>
        <x:v>0.0011608188424903733</x:v>
      </x:c>
      <x:c r="M205" s="369" t="n">
        <x:f>IF($A205="","",ABS(2*A205/(90-A205)-'02_Constants'!$D$16)/'02_Constants'!$D$16)</x:f>
        <x:v>0.0013195770388245228</x:v>
      </x:c>
      <x:c r="N205" s="369" t="n">
        <x:f>IF($A205="","",ABS(2*A205/(90-A205)-1-'02_Constants'!$D$17)/'02_Constants'!$D$17)</x:f>
        <x:v>0.002087540138339996</x:v>
      </x:c>
      <x:c r="O205" s="369" t="n">
        <x:f>IF(A205="","",AVERAGE(C205:N205))</x:f>
        <x:v>0.0007213125089409024</x:v>
      </x:c>
      <x:c r="P205" s="369" t="n">
        <x:f>IF(A205="","",SUMPRODUCT(C205:N205,'03_12_Errors'!$P$4:$AA$4)/SUM('03_12_Errors'!$P$4:$AA$4))</x:f>
        <x:v>0.0007880182197668424</x:v>
      </x:c>
      <x:c r="Q205" s="369" t="n">
        <x:f>IF(A205="","",SQRT(SUMSQ(C205:N205)/12))</x:f>
        <x:v>0.0009139904310128747</x:v>
      </x:c>
      <x:c r="R205" s="369" t="n">
        <x:f>IF(A205="","",MAX(C205:N205))</x:f>
        <x:v>0.002087540138339996</x:v>
      </x:c>
      <x:c r="S205" s="390" t="n">
        <x:f>IF(A205="","",COUNTIF(C205:N205,"&lt;="&amp;'00_Start'!$B$7))</x:f>
        <x:v>9</x:v>
      </x:c>
      <x:c r="T205" s="365" t="n">
        <x:f>IF(A205="","",0.5*TAN(RADIANS(A205)))</x:f>
        <x:v>0.6372039789032522</x:v>
      </x:c>
      <x:c r="U205" s="365" t="n">
        <x:f>IF(A205="","",0.5)</x:f>
        <x:v>0.5</x:v>
      </x:c>
      <x:c r="V205" s="365" t="n">
        <x:f>IF(A205="","",SQRT(2))</x:f>
        <x:v>1.4142135623730951</x:v>
      </x:c>
      <x:c r="W205" s="365" t="n">
        <x:f>IF(A205="","",SQRT(T205^2+U205^2))</x:f>
        <x:v>0.8099561165459128</x:v>
      </x:c>
      <x:c r="X205" s="365" t="n">
        <x:f>IF(A205="","",SQRT(T205^2+2*U205^2))</x:f>
        <x:v>0.9518555093763634</x:v>
      </x:c>
      <x:c r="Y205" s="127"/>
      <x:c r="Z205" s="127"/>
      <x:c r="AA205" s="127"/>
      <x:c r="AB205" s="127"/>
      <x:c r="AC205" s="127"/>
      <x:c r="AD205" s="127"/>
      <x:c r="AE205" s="127"/>
      <x:c r="AF205" s="127"/>
      <x:c r="AG205" s="127"/>
      <x:c r="AH205" s="127"/>
      <x:c r="AI205" s="127"/>
      <x:c r="AJ205" s="127"/>
      <x:c r="AK205" s="127"/>
      <x:c r="AL205" s="127"/>
    </x:row>
    <x:row r="206">
      <x:c r="A206" s="367" t="n">
        <x:f>IF(A205="","",IF(A205+'00_Start'!$B$12&lt;='00_Start'!$B$11,A205+'00_Start'!$B$12,""))</x:f>
        <x:v>51.88000000000048</x:v>
      </x:c>
      <x:c r="B206" s="367" t="n">
        <x:f>IF(A206="","",2/TAN(RADIANS(A206)))</x:f>
        <x:v>1.5693279770924484</x:v>
      </x:c>
      <x:c r="C206" s="369" t="n">
        <x:f>IF($A206="","",ABS(2/T206-'02_Constants'!$D$6)/'02_Constants'!$D$6)</x:f>
        <x:v>0.0009347804533285377</x:v>
      </x:c>
      <x:c r="D206" s="369" t="n">
        <x:f>IF($A206="","",ABS(2/(T206+2*V206)-'02_Constants'!$D$7)/'02_Constants'!$D$7)</x:f>
        <x:v>0.00021154069660895804</x:v>
      </x:c>
      <x:c r="E206" s="369" t="n">
        <x:f>IF($A206="","",ABS((T206+2*V206)/2-'02_Constants'!$D$8)/'02_Constants'!$D$8)</x:f>
        <x:v>0.0004448306299024067</x:v>
      </x:c>
      <x:c r="F206" s="369" t="n">
        <x:f>IF($A206="","",ABS((T206+2*V206)/V206-'02_Constants'!$D$9)/'02_Constants'!$D$9)</x:f>
        <x:v>0.000444830629902366</x:v>
      </x:c>
      <x:c r="G206" s="369" t="n">
        <x:f>IF($A206="","",ABS(V206-'02_Constants'!$D$10)/'02_Constants'!$D$10)</x:f>
        <x:v>0</x:v>
      </x:c>
      <x:c r="H206" s="369" t="n">
        <x:f>IF($A206="","",ABS((W206+1)/W206-'02_Constants'!$D$11)/'02_Constants'!$D$11)</x:f>
        <x:v>0.0006470814584675508</x:v>
      </x:c>
      <x:c r="I206" s="369" t="n">
        <x:f>IF($A206="","",ABS((U206+2*V206)/(W206+1)-'02_Constants'!$D$12)/'02_Constants'!$D$12)</x:f>
        <x:v>0.0001855655518428237</x:v>
      </x:c>
      <x:c r="J206" s="369" t="n">
        <x:f>IF($A206="","",ABS(X206/U206-'02_Constants'!$D$13)/'02_Constants'!$D$13)</x:f>
        <x:v>0.000823151186693909</x:v>
      </x:c>
      <x:c r="K206" s="369" t="n">
        <x:f>IF($A206="","",ABS(W206/(W206+U206)-'02_Constants'!$D$14)/'02_Constants'!$D$14)</x:f>
        <x:v>0.0004473222988271899</x:v>
      </x:c>
      <x:c r="L206" s="369" t="n">
        <x:f>IF($A206="","",ABS(W206/U206-'02_Constants'!$D$15)/'02_Constants'!$D$15)</x:f>
        <x:v>0.0011719532217027687</x:v>
      </x:c>
      <x:c r="M206" s="369" t="n">
        <x:f>IF($A206="","",ABS(2*A206/(90-A206)-'02_Constants'!$D$16)/'02_Constants'!$D$16)</x:f>
        <x:v>0.0013423613837799384</x:v>
      </x:c>
      <x:c r="N206" s="369" t="n">
        <x:f>IF($A206="","",ABS(2*A206/(90-A206)-1-'02_Constants'!$D$17)/'02_Constants'!$D$17)</x:f>
        <x:v>0.002123584441340739</x:v>
      </x:c>
      <x:c r="O206" s="369" t="n">
        <x:f>IF(A206="","",AVERAGE(C206:N206))</x:f>
        <x:v>0.0007314168293664323</x:v>
      </x:c>
      <x:c r="P206" s="369" t="n">
        <x:f>IF(A206="","",SUMPRODUCT(C206:N206,'03_12_Errors'!$P$4:$AA$4)/SUM('03_12_Errors'!$P$4:$AA$4))</x:f>
        <x:v>0.000799831624927115</x:v>
      </x:c>
      <x:c r="Q206" s="369" t="n">
        <x:f>IF(A206="","",SQRT(SUMSQ(C206:N206)/12))</x:f>
        <x:v>0.0009278180479840871</x:v>
      </x:c>
      <x:c r="R206" s="369" t="n">
        <x:f>IF(A206="","",MAX(C206:N206))</x:f>
        <x:v>0.002123584441340739</x:v>
      </x:c>
      <x:c r="S206" s="390" t="n">
        <x:f>IF(A206="","",COUNTIF(C206:N206,"&lt;="&amp;'00_Start'!$B$7))</x:f>
        <x:v>9</x:v>
      </x:c>
      <x:c r="T206" s="365" t="n">
        <x:f>IF(A206="","",0.5*TAN(RADIANS(A206)))</x:f>
        <x:v>0.6372154288950719</x:v>
      </x:c>
      <x:c r="U206" s="365" t="n">
        <x:f>IF(A206="","",0.5)</x:f>
        <x:v>0.5</x:v>
      </x:c>
      <x:c r="V206" s="365" t="n">
        <x:f>IF(A206="","",SQRT(2))</x:f>
        <x:v>1.4142135623730951</x:v>
      </x:c>
      <x:c r="W206" s="365" t="n">
        <x:f>IF(A206="","",SQRT(T206^2+U206^2))</x:f>
        <x:v>0.8099651244479175</x:v>
      </x:c>
      <x:c r="X206" s="365" t="n">
        <x:f>IF(A206="","",SQRT(T206^2+2*U206^2))</x:f>
        <x:v>0.9518631744226322</x:v>
      </x:c>
      <x:c r="Y206" s="127"/>
      <x:c r="Z206" s="127"/>
      <x:c r="AA206" s="127"/>
      <x:c r="AB206" s="127"/>
      <x:c r="AC206" s="127"/>
      <x:c r="AD206" s="127"/>
      <x:c r="AE206" s="127"/>
      <x:c r="AF206" s="127"/>
      <x:c r="AG206" s="127"/>
      <x:c r="AH206" s="127"/>
      <x:c r="AI206" s="127"/>
      <x:c r="AJ206" s="127"/>
      <x:c r="AK206" s="127"/>
      <x:c r="AL206" s="127"/>
    </x:row>
    <x:row r="207">
      <x:c r="A207" s="367" t="n">
        <x:f>IF(A206="","",IF(A206+'00_Start'!$B$12&lt;='00_Start'!$B$11,A206+'00_Start'!$B$12,""))</x:f>
        <x:v>51.88050000000048</x:v>
      </x:c>
      <x:c r="B207" s="367" t="n">
        <x:f>IF(A207="","",2/TAN(RADIANS(A207)))</x:f>
        <x:v>1.569299778043141</x:v>
      </x:c>
      <x:c r="C207" s="369" t="n">
        <x:f>IF($A207="","",ABS(2/T207-'02_Constants'!$D$6)/'02_Constants'!$D$6)</x:f>
        <x:v>0.0009527325256795955</x:v>
      </x:c>
      <x:c r="D207" s="369" t="n">
        <x:f>IF($A207="","",ABS(2/(T207+2*V207)-'02_Constants'!$D$7)/'02_Constants'!$D$7)</x:f>
        <x:v>0.00021484391854026532</x:v>
      </x:c>
      <x:c r="E207" s="369" t="n">
        <x:f>IF($A207="","",ABS((T207+2*V207)/2-'02_Constants'!$D$8)/'02_Constants'!$D$8)</x:f>
        <x:v>0.0004481360313534315</x:v>
      </x:c>
      <x:c r="F207" s="369" t="n">
        <x:f>IF($A207="","",ABS((T207+2*V207)/V207-'02_Constants'!$D$9)/'02_Constants'!$D$9)</x:f>
        <x:v>0.00044813603135345387</x:v>
      </x:c>
      <x:c r="G207" s="369" t="n">
        <x:f>IF($A207="","",ABS(V207-'02_Constants'!$D$10)/'02_Constants'!$D$10)</x:f>
        <x:v>0</x:v>
      </x:c>
      <x:c r="H207" s="369" t="n">
        <x:f>IF($A207="","",ABS((W207+1)/W207-'02_Constants'!$D$11)/'02_Constants'!$D$11)</x:f>
        <x:v>0.0006532221009913908</x:v>
      </x:c>
      <x:c r="I207" s="369" t="n">
        <x:f>IF($A207="","",ABS((U207+2*V207)/(W207+1)-'02_Constants'!$D$12)/'02_Constants'!$D$12)</x:f>
        <x:v>0.00019054158563571832</x:v>
      </x:c>
      <x:c r="J207" s="369" t="n">
        <x:f>IF($A207="","",ABS(X207/U207-'02_Constants'!$D$13)/'02_Constants'!$D$13)</x:f>
        <x:v>0.0008312107510048457</x:v>
      </x:c>
      <x:c r="K207" s="369" t="n">
        <x:f>IF($A207="","",ABS(W207/(W207+U207)-'02_Constants'!$D$14)/'02_Constants'!$D$14)</x:f>
        <x:v>0.00045156919338006123</x:v>
      </x:c>
      <x:c r="L207" s="369" t="n">
        <x:f>IF($A207="","",ABS(W207/U207-'02_Constants'!$D$15)/'02_Constants'!$D$15)</x:f>
        <x:v>0.0011830879248246415</x:v>
      </x:c>
      <x:c r="M207" s="369" t="n">
        <x:f>IF($A207="","",ABS(2*A207/(90-A207)-'02_Constants'!$D$16)/'02_Constants'!$D$16)</x:f>
        <x:v>0.0013651463264435966</x:v>
      </x:c>
      <x:c r="N207" s="369" t="n">
        <x:f>IF($A207="","",ABS(2*A207/(90-A207)-1-'02_Constants'!$D$17)/'02_Constants'!$D$17)</x:f>
        <x:v>0.0021596296899019994</x:v>
      </x:c>
      <x:c r="O207" s="369" t="n">
        <x:f>IF(A207="","",AVERAGE(C207:N207))</x:f>
        <x:v>0.00074152133992575</x:v>
      </x:c>
      <x:c r="P207" s="369" t="n">
        <x:f>IF(A207="","",SUMPRODUCT(C207:N207,'03_12_Errors'!$P$4:$AA$4)/SUM('03_12_Errors'!$P$4:$AA$4))</x:f>
        <x:v>0.000811645211773451</x:v>
      </x:c>
      <x:c r="Q207" s="369" t="n">
        <x:f>IF(A207="","",SQRT(SUMSQ(C207:N207)/12))</x:f>
        <x:v>0.0009416590928633469</x:v>
      </x:c>
      <x:c r="R207" s="369" t="n">
        <x:f>IF(A207="","",MAX(C207:N207))</x:f>
        <x:v>0.0021596296899019994</x:v>
      </x:c>
      <x:c r="S207" s="390" t="n">
        <x:f>IF(A207="","",COUNTIF(C207:N207,"&lt;="&amp;'00_Start'!$B$7))</x:f>
        <x:v>9</x:v>
      </x:c>
      <x:c r="T207" s="365" t="n">
        <x:f>IF(A207="","",0.5*TAN(RADIANS(A207)))</x:f>
        <x:v>0.6372268791415768</x:v>
      </x:c>
      <x:c r="U207" s="365" t="n">
        <x:f>IF(A207="","",0.5)</x:f>
        <x:v>0.5</x:v>
      </x:c>
      <x:c r="V207" s="365" t="n">
        <x:f>IF(A207="","",SQRT(2))</x:f>
        <x:v>1.4142135623730951</x:v>
      </x:c>
      <x:c r="W207" s="365" t="n">
        <x:f>IF(A207="","",SQRT(T207^2+U207^2))</x:f>
        <x:v>0.8099741326119704</x:v>
      </x:c>
      <x:c r="X207" s="365" t="n">
        <x:f>IF(A207="","",SQRT(T207^2+2*U207^2))</x:f>
        <x:v>0.9518708397154069</x:v>
      </x:c>
      <x:c r="Y207" s="127"/>
      <x:c r="Z207" s="127"/>
      <x:c r="AA207" s="127"/>
      <x:c r="AB207" s="127"/>
      <x:c r="AC207" s="127"/>
      <x:c r="AD207" s="127"/>
      <x:c r="AE207" s="127"/>
      <x:c r="AF207" s="127"/>
      <x:c r="AG207" s="127"/>
      <x:c r="AH207" s="127"/>
      <x:c r="AI207" s="127"/>
      <x:c r="AJ207" s="127"/>
      <x:c r="AK207" s="127"/>
      <x:c r="AL207" s="127"/>
    </x:row>
    <x:row r="208">
      <x:c r="A208" s="367" t="n">
        <x:f>IF(A207="","",IF(A207+'00_Start'!$B$12&lt;='00_Start'!$B$11,A207+'00_Start'!$B$12,""))</x:f>
        <x:v>51.88100000000048</x:v>
      </x:c>
      <x:c r="B208" s="367" t="n">
        <x:f>IF(A208="","",2/TAN(RADIANS(A208)))</x:f>
        <x:v>1.5692715793800094</x:v>
      </x:c>
      <x:c r="C208" s="369" t="n">
        <x:f>IF($A208="","",ABS(2/T208-'02_Constants'!$D$6)/'02_Constants'!$D$6)</x:f>
        <x:v>0.0009706843521835303</x:v>
      </x:c>
      <x:c r="D208" s="369" t="n">
        <x:f>IF($A208="","",ABS(2/(T208+2*V208)-'02_Constants'!$D$7)/'02_Constants'!$D$7)</x:f>
        <x:v>0.00021814719211939247</x:v>
      </x:c>
      <x:c r="E208" s="369" t="n">
        <x:f>IF($A208="","",ABS((T208+2*V208)/2-'02_Constants'!$D$8)/'02_Constants'!$D$8)</x:f>
        <x:v>0.00045144150632854996</x:v>
      </x:c>
      <x:c r="F208" s="369" t="n">
        <x:f>IF($A208="","",ABS((T208+2*V208)/V208-'02_Constants'!$D$9)/'02_Constants'!$D$9)</x:f>
        <x:v>0.0004514415063285819</x:v>
      </x:c>
      <x:c r="G208" s="369" t="n">
        <x:f>IF($A208="","",ABS(V208-'02_Constants'!$D$10)/'02_Constants'!$D$10)</x:f>
        <x:v>0</x:v>
      </x:c>
      <x:c r="H208" s="369" t="n">
        <x:f>IF($A208="","",ABS((W208+1)/W208-'02_Constants'!$D$11)/'02_Constants'!$D$11)</x:f>
        <x:v>0.0006593627855626069</x:v>
      </x:c>
      <x:c r="I208" s="369" t="n">
        <x:f>IF($A208="","",ABS((U208+2*V208)/(W208+1)-'02_Constants'!$D$12)/'02_Constants'!$D$12)</x:f>
        <x:v>0.00019551771465435824</x:v>
      </x:c>
      <x:c r="J208" s="369" t="n">
        <x:f>IF($A208="","",ABS(X208/U208-'02_Constants'!$D$13)/'02_Constants'!$D$13)</x:f>
        <x:v>0.0008392705745113626</x:v>
      </x:c>
      <x:c r="K208" s="369" t="n">
        <x:f>IF($A208="","",ABS(W208/(W208+U208)-'02_Constants'!$D$14)/'02_Constants'!$D$14)</x:f>
        <x:v>0.0004558161530696203</x:v>
      </x:c>
      <x:c r="L208" s="369" t="n">
        <x:f>IF($A208="","",ABS(W208/U208-'02_Constants'!$D$15)/'02_Constants'!$D$15)</x:f>
        <x:v>0.0011942229518683428</x:v>
      </x:c>
      <x:c r="M208" s="369" t="n">
        <x:f>IF($A208="","",ABS(2*A208/(90-A208)-'02_Constants'!$D$16)/'02_Constants'!$D$16)</x:f>
        <x:v>0.0013879318668391857</x:v>
      </x:c>
      <x:c r="N208" s="369" t="n">
        <x:f>IF($A208="","",ABS(2*A208/(90-A208)-1-'02_Constants'!$D$17)/'02_Constants'!$D$17)</x:f>
        <x:v>0.002195675884061252</x:v>
      </x:c>
      <x:c r="O208" s="369" t="n">
        <x:f>IF(A208="","",AVERAGE(C208:N208))</x:f>
        <x:v>0.000751626040627232</x:v>
      </x:c>
      <x:c r="P208" s="369" t="n">
        <x:f>IF(A208="","",SUMPRODUCT(C208:N208,'03_12_Errors'!$P$4:$AA$4)/SUM('03_12_Errors'!$P$4:$AA$4))</x:f>
        <x:v>0.0008234589803153059</x:v>
      </x:c>
      <x:c r="Q208" s="369" t="n">
        <x:f>IF(A208="","",SQRT(SUMSQ(C208:N208)/12))</x:f>
        <x:v>0.0009555129953873518</x:v>
      </x:c>
      <x:c r="R208" s="369" t="n">
        <x:f>IF(A208="","",MAX(C208:N208))</x:f>
        <x:v>0.002195675884061252</x:v>
      </x:c>
      <x:c r="S208" s="390" t="n">
        <x:f>IF(A208="","",COUNTIF(C208:N208,"&lt;="&amp;'00_Start'!$B$7))</x:f>
        <x:v>9</x:v>
      </x:c>
      <x:c r="T208" s="365" t="n">
        <x:f>IF(A208="","",0.5*TAN(RADIANS(A208)))</x:f>
        <x:v>0.6372383296427772</x:v>
      </x:c>
      <x:c r="U208" s="365" t="n">
        <x:f>IF(A208="","",0.5)</x:f>
        <x:v>0.5</x:v>
      </x:c>
      <x:c r="V208" s="365" t="n">
        <x:f>IF(A208="","",SQRT(2))</x:f>
        <x:v>1.4142135623730951</x:v>
      </x:c>
      <x:c r="W208" s="365" t="n">
        <x:f>IF(A208="","",SQRT(T208^2+U208^2))</x:f>
        <x:v>0.8099831410380816</x:v>
      </x:c>
      <x:c r="X208" s="365" t="n">
        <x:f>IF(A208="","",SQRT(T208^2+2*U208^2))</x:f>
        <x:v>0.9518785052546973</x:v>
      </x:c>
      <x:c r="Y208" s="127"/>
      <x:c r="Z208" s="127"/>
      <x:c r="AA208" s="127"/>
      <x:c r="AB208" s="127"/>
      <x:c r="AC208" s="127"/>
      <x:c r="AD208" s="127"/>
      <x:c r="AE208" s="127"/>
      <x:c r="AF208" s="127"/>
      <x:c r="AG208" s="127"/>
      <x:c r="AH208" s="127"/>
      <x:c r="AI208" s="127"/>
      <x:c r="AJ208" s="127"/>
      <x:c r="AK208" s="127"/>
      <x:c r="AL208" s="127"/>
    </x:row>
    <x:row r="209">
      <x:c r="A209" s="367" t="n">
        <x:f>IF(A208="","",IF(A208+'00_Start'!$B$12&lt;='00_Start'!$B$11,A208+'00_Start'!$B$12,""))</x:f>
        <x:v>51.881500000000486</x:v>
      </x:c>
      <x:c r="B209" s="367" t="n">
        <x:f>IF(A209="","",2/TAN(RADIANS(A209)))</x:f>
        <x:v>1.5692433811030413</x:v>
      </x:c>
      <x:c r="C209" s="369" t="n">
        <x:f>IF($A209="","",ABS(2/T209-'02_Constants'!$D$6)/'02_Constants'!$D$6)</x:f>
        <x:v>0.0009886359328481165</x:v>
      </x:c>
      <x:c r="D209" s="369" t="n">
        <x:f>IF($A209="","",ABS(2/(T209+2*V209)-'02_Constants'!$D$7)/'02_Constants'!$D$7)</x:f>
        <x:v>0.00022145051734826293</x:v>
      </x:c>
      <x:c r="E209" s="369" t="n">
        <x:f>IF($A209="","",ABS((T209+2*V209)/2-'02_Constants'!$D$8)/'02_Constants'!$D$8)</x:f>
        <x:v>0.0004547470548309671</x:v>
      </x:c>
      <x:c r="F209" s="369" t="n">
        <x:f>IF($A209="","",ABS((T209+2*V209)/V209-'02_Constants'!$D$9)/'02_Constants'!$D$9)</x:f>
        <x:v>0.0004547470548310135</x:v>
      </x:c>
      <x:c r="G209" s="369" t="n">
        <x:f>IF($A209="","",ABS(V209-'02_Constants'!$D$10)/'02_Constants'!$D$10)</x:f>
        <x:v>0</x:v>
      </x:c>
      <x:c r="H209" s="369" t="n">
        <x:f>IF($A209="","",ABS((W209+1)/W209-'02_Constants'!$D$11)/'02_Constants'!$D$11)</x:f>
        <x:v>0.0006655035121808017</x:v>
      </x:c>
      <x:c r="I209" s="369" t="n">
        <x:f>IF($A209="","",ABS((U209+2*V209)/(W209+1)-'02_Constants'!$D$12)/'02_Constants'!$D$12)</x:f>
        <x:v>0.00020049393890079575</x:v>
      </x:c>
      <x:c r="J209" s="369" t="n">
        <x:f>IF($A209="","",ABS(X209/U209-'02_Constants'!$D$13)/'02_Constants'!$D$13)</x:f>
        <x:v>0.0008473306572239653</x:v>
      </x:c>
      <x:c r="K209" s="369" t="n">
        <x:f>IF($A209="","",ABS(W209/(W209+U209)-'02_Constants'!$D$14)/'02_Constants'!$D$14)</x:f>
        <x:v>0.0004600631778969448</x:v>
      </x:c>
      <x:c r="L209" s="369" t="n">
        <x:f>IF($A209="","",ABS(W209/U209-'02_Constants'!$D$15)/'02_Constants'!$D$15)</x:f>
        <x:v>0.0012053583028463603</x:v>
      </x:c>
      <x:c r="M209" s="369" t="n">
        <x:f>IF($A209="","",ABS(2*A209/(90-A209)-'02_Constants'!$D$16)/'02_Constants'!$D$16)</x:f>
        <x:v>0.0014107180049900685</x:v>
      </x:c>
      <x:c r="N209" s="369" t="n">
        <x:f>IF($A209="","",ABS(2*A209/(90-A209)-1-'02_Constants'!$D$17)/'02_Constants'!$D$17)</x:f>
        <x:v>0.0022317230238554546</x:v>
      </x:c>
      <x:c r="O209" s="369" t="n">
        <x:f>IF(A209="","",AVERAGE(C209:N209))</x:f>
        <x:v>0.0007617309314793959</x:v>
      </x:c>
      <x:c r="P209" s="369" t="n">
        <x:f>IF(A209="","",SUMPRODUCT(C209:N209,'03_12_Errors'!$P$4:$AA$4)/SUM('03_12_Errors'!$P$4:$AA$4))</x:f>
        <x:v>0.0008352729305622928</x:v>
      </x:c>
      <x:c r="Q209" s="369" t="n">
        <x:f>IF(A209="","",SQRT(SUMSQ(C209:N209)/12))</x:f>
        <x:v>0.0009693792173665715</x:v>
      </x:c>
      <x:c r="R209" s="369" t="n">
        <x:f>IF(A209="","",MAX(C209:N209))</x:f>
        <x:v>0.0022317230238554546</x:v>
      </x:c>
      <x:c r="S209" s="390" t="n">
        <x:f>IF(A209="","",COUNTIF(C209:N209,"&lt;="&amp;'00_Start'!$B$7))</x:f>
        <x:v>9</x:v>
      </x:c>
      <x:c r="T209" s="365" t="n">
        <x:f>IF(A209="","",0.5*TAN(RADIANS(A209)))</x:f>
        <x:v>0.6372497803986831</x:v>
      </x:c>
      <x:c r="U209" s="365" t="n">
        <x:f>IF(A209="","",0.5)</x:f>
        <x:v>0.5</x:v>
      </x:c>
      <x:c r="V209" s="365" t="n">
        <x:f>IF(A209="","",SQRT(2))</x:f>
        <x:v>1.4142135623730951</x:v>
      </x:c>
      <x:c r="W209" s="365" t="n">
        <x:f>IF(A209="","",SQRT(T209^2+U209^2))</x:f>
        <x:v>0.8099921497262611</x:v>
      </x:c>
      <x:c r="X209" s="365" t="n">
        <x:f>IF(A209="","",SQRT(T209^2+2*U209^2))</x:f>
        <x:v>0.9518861710405135</x:v>
      </x:c>
      <x:c r="Y209" s="127"/>
      <x:c r="Z209" s="127"/>
      <x:c r="AA209" s="127"/>
      <x:c r="AB209" s="127"/>
      <x:c r="AC209" s="127"/>
      <x:c r="AD209" s="127"/>
      <x:c r="AE209" s="127"/>
      <x:c r="AF209" s="127"/>
      <x:c r="AG209" s="127"/>
      <x:c r="AH209" s="127"/>
      <x:c r="AI209" s="127"/>
      <x:c r="AJ209" s="127"/>
      <x:c r="AK209" s="127"/>
      <x:c r="AL209" s="127"/>
    </x:row>
    <x:row r="210">
      <x:c r="A210" s="367" t="n">
        <x:f>IF(A209="","",IF(A209+'00_Start'!$B$12&lt;='00_Start'!$B$11,A209+'00_Start'!$B$12,""))</x:f>
        <x:v>51.88200000000049</x:v>
      </x:c>
      <x:c r="B210" s="367" t="n">
        <x:f>IF(A210="","",2/TAN(RADIANS(A210)))</x:f>
        <x:v>1.5692151832122239</x:v>
      </x:c>
      <x:c r="C210" s="369" t="n">
        <x:f>IF($A210="","",ABS(2/T210-'02_Constants'!$D$6)/'02_Constants'!$D$6)</x:f>
        <x:v>0.0010065872676815531</x:v>
      </x:c>
      <x:c r="D210" s="369" t="n">
        <x:f>IF($A210="","",ABS(2/(T210+2*V210)-'02_Constants'!$D$7)/'02_Constants'!$D$7)</x:f>
        <x:v>0.00022475389422860778</x:v>
      </x:c>
      <x:c r="E210" s="369" t="n">
        <x:f>IF($A210="","",ABS((T210+2*V210)/2-'02_Constants'!$D$8)/'02_Constants'!$D$8)</x:f>
        <x:v>0.00045805267686350326</x:v>
      </x:c>
      <x:c r="F210" s="369" t="n">
        <x:f>IF($A210="","",ABS((T210+2*V210)/V210-'02_Constants'!$D$9)/'02_Constants'!$D$9)</x:f>
        <x:v>0.0004580526768634681</x:v>
      </x:c>
      <x:c r="G210" s="369" t="n">
        <x:f>IF($A210="","",ABS(V210-'02_Constants'!$D$10)/'02_Constants'!$D$10)</x:f>
        <x:v>0</x:v>
      </x:c>
      <x:c r="H210" s="369" t="n">
        <x:f>IF($A210="","",ABS((W210+1)/W210-'02_Constants'!$D$11)/'02_Constants'!$D$11)</x:f>
        <x:v>0.0006716442808453797</x:v>
      </x:c>
      <x:c r="I210" s="369" t="n">
        <x:f>IF($A210="","",ABS((U210+2*V210)/(W210+1)-'02_Constants'!$D$12)/'02_Constants'!$D$12)</x:f>
        <x:v>0.0002054702583772039</x:v>
      </x:c>
      <x:c r="J210" s="369" t="n">
        <x:f>IF($A210="","",ABS(X210/U210-'02_Constants'!$D$13)/'02_Constants'!$D$13)</x:f>
        <x:v>0.0008553909991535102</x:v>
      </x:c>
      <x:c r="K210" s="369" t="n">
        <x:f>IF($A210="","",ABS(W210/(W210+U210)-'02_Constants'!$D$14)/'02_Constants'!$D$14)</x:f>
        <x:v>0.0004643102678627533</x:v>
      </x:c>
      <x:c r="L210" s="369" t="n">
        <x:f>IF($A210="","",ABS(W210/U210-'02_Constants'!$D$15)/'02_Constants'!$D$15)</x:f>
        <x:v>0.0012164939777713196</x:v>
      </x:c>
      <x:c r="M210" s="369" t="n">
        <x:f>IF($A210="","",ABS(2*A210/(90-A210)-'02_Constants'!$D$16)/'02_Constants'!$D$16)</x:f>
        <x:v>0.0014335047409200967</x:v>
      </x:c>
      <x:c r="N210" s="369" t="n">
        <x:f>IF($A210="","",ABS(2*A210/(90-A210)-1-'02_Constants'!$D$17)/'02_Constants'!$D$17)</x:f>
        <x:v>0.0022677711093223416</x:v>
      </x:c>
      <x:c r="O210" s="369" t="n">
        <x:f>IF(A210="","",AVERAGE(C210:N210))</x:f>
        <x:v>0.0007718360124908115</x:v>
      </x:c>
      <x:c r="P210" s="369" t="n">
        <x:f>IF(A210="","",SUMPRODUCT(C210:N210,'03_12_Errors'!$P$4:$AA$4)/SUM('03_12_Errors'!$P$4:$AA$4))</x:f>
        <x:v>0.000847087062524194</x:v>
      </x:c>
      <x:c r="Q210" s="369" t="n">
        <x:f>IF(A210="","",SQRT(SUMSQ(C210:N210)/12))</x:f>
        <x:v>0.0009832572504949234</x:v>
      </x:c>
      <x:c r="R210" s="369" t="n">
        <x:f>IF(A210="","",MAX(C210:N210))</x:f>
        <x:v>0.0022677711093223416</x:v>
      </x:c>
      <x:c r="S210" s="390" t="n">
        <x:f>IF(A210="","",COUNTIF(C210:N210,"&lt;="&amp;'00_Start'!$B$7))</x:f>
        <x:v>8</x:v>
      </x:c>
      <x:c r="T210" s="365" t="n">
        <x:f>IF(A210="","",0.5*TAN(RADIANS(A210)))</x:f>
        <x:v>0.637261231409305</x:v>
      </x:c>
      <x:c r="U210" s="365" t="n">
        <x:f>IF(A210="","",0.5)</x:f>
        <x:v>0.5</x:v>
      </x:c>
      <x:c r="V210" s="365" t="n">
        <x:f>IF(A210="","",SQRT(2))</x:f>
        <x:v>1.4142135623730951</x:v>
      </x:c>
      <x:c r="W210" s="365" t="n">
        <x:f>IF(A210="","",SQRT(T210^2+U210^2))</x:f>
        <x:v>0.8100011586765192</x:v>
      </x:c>
      <x:c r="X210" s="365" t="n">
        <x:f>IF(A210="","",SQRT(T210^2+2*U210^2))</x:f>
        <x:v>0.9518938370728659</x:v>
      </x:c>
      <x:c r="Y210" s="127"/>
      <x:c r="Z210" s="127"/>
      <x:c r="AA210" s="127"/>
      <x:c r="AB210" s="127"/>
      <x:c r="AC210" s="127"/>
      <x:c r="AD210" s="127"/>
      <x:c r="AE210" s="127"/>
      <x:c r="AF210" s="127"/>
      <x:c r="AG210" s="127"/>
      <x:c r="AH210" s="127"/>
      <x:c r="AI210" s="127"/>
      <x:c r="AJ210" s="127"/>
      <x:c r="AK210" s="127"/>
      <x:c r="AL210" s="127"/>
    </x:row>
    <x:row r="211">
      <x:c r="A211" s="367" t="n">
        <x:f>IF(A210="","",IF(A210+'00_Start'!$B$12&lt;='00_Start'!$B$11,A210+'00_Start'!$B$12,""))</x:f>
        <x:v>51.88250000000049</x:v>
      </x:c>
      <x:c r="B211" s="367" t="n">
        <x:f>IF(A211="","",2/TAN(RADIANS(A211)))</x:f>
        <x:v>1.569186985707546</x:v>
      </x:c>
      <x:c r="C211" s="369" t="n">
        <x:f>IF($A211="","",ABS(2/T211-'02_Constants'!$D$6)/'02_Constants'!$D$6)</x:f>
        <x:v>0.001024538356690908</x:v>
      </x:c>
      <x:c r="D211" s="369" t="n">
        <x:f>IF($A211="","",ABS(2/(T211+2*V211)-'02_Constants'!$D$7)/'02_Constants'!$D$7)</x:f>
        <x:v>0.00022805732276158104</x:v>
      </x:c>
      <x:c r="E211" s="369" t="n">
        <x:f>IF($A211="","",ABS((T211+2*V211)/2-'02_Constants'!$D$8)/'02_Constants'!$D$8)</x:f>
        <x:v>0.00046135837242897875</x:v>
      </x:c>
      <x:c r="F211" s="369" t="n">
        <x:f>IF($A211="","",ABS((T211+2*V211)/V211-'02_Constants'!$D$9)/'02_Constants'!$D$9)</x:f>
        <x:v>0.0004613583724290278</x:v>
      </x:c>
      <x:c r="G211" s="369" t="n">
        <x:f>IF($A211="","",ABS(V211-'02_Constants'!$D$10)/'02_Constants'!$D$10)</x:f>
        <x:v>0</x:v>
      </x:c>
      <x:c r="H211" s="369" t="n">
        <x:f>IF($A211="","",ABS((W211+1)/W211-'02_Constants'!$D$11)/'02_Constants'!$D$11)</x:f>
        <x:v>0.000677785091555745</x:v>
      </x:c>
      <x:c r="I211" s="369" t="n">
        <x:f>IF($A211="","",ABS((U211+2*V211)/(W211+1)-'02_Constants'!$D$12)/'02_Constants'!$D$12)</x:f>
        <x:v>0.00021044667308551426</x:v>
      </x:c>
      <x:c r="J211" s="369" t="n">
        <x:f>IF($A211="","",ABS(X211/U211-'02_Constants'!$D$13)/'02_Constants'!$D$13)</x:f>
        <x:v>0.0008634516003103863</x:v>
      </x:c>
      <x:c r="K211" s="369" t="n">
        <x:f>IF($A211="","",ABS(W211/(W211+U211)-'02_Constants'!$D$14)/'02_Constants'!$D$14)</x:f>
        <x:v>0.0004685574229677644</x:v>
      </x:c>
      <x:c r="L211" s="369" t="n">
        <x:f>IF($A211="","",ABS(W211/U211-'02_Constants'!$D$15)/'02_Constants'!$D$15)</x:f>
        <x:v>0.0012276299766555714</x:v>
      </x:c>
      <x:c r="M211" s="369" t="n">
        <x:f>IF($A211="","",ABS(2*A211/(90-A211)-'02_Constants'!$D$16)/'02_Constants'!$D$16)</x:f>
        <x:v>0.0014562920746524694</x:v>
      </x:c>
      <x:c r="N211" s="369" t="n">
        <x:f>IF($A211="","",ABS(2*A211/(90-A211)-1-'02_Constants'!$D$17)/'02_Constants'!$D$17)</x:f>
        <x:v>0.002303820140498613</x:v>
      </x:c>
      <x:c r="O211" s="369" t="n">
        <x:f>IF(A211="","",AVERAGE(C211:N211))</x:f>
        <x:v>0.0007819412836697132</x:v>
      </x:c>
      <x:c r="P211" s="369" t="n">
        <x:f>IF(A211="","",SUMPRODUCT(C211:N211,'03_12_Errors'!$P$4:$AA$4)/SUM('03_12_Errors'!$P$4:$AA$4))</x:f>
        <x:v>0.0008589013762103177</x:v>
      </x:c>
      <x:c r="Q211" s="369" t="n">
        <x:f>IF(A211="","",SQRT(SUMSQ(C211:N211)/12))</x:f>
        <x:v>0.0009971466143329306</x:v>
      </x:c>
      <x:c r="R211" s="369" t="n">
        <x:f>IF(A211="","",MAX(C211:N211))</x:f>
        <x:v>0.002303820140498613</x:v>
      </x:c>
      <x:c r="S211" s="390" t="n">
        <x:f>IF(A211="","",COUNTIF(C211:N211,"&lt;="&amp;'00_Start'!$B$7))</x:f>
        <x:v>8</x:v>
      </x:c>
      <x:c r="T211" s="365" t="n">
        <x:f>IF(A211="","",0.5*TAN(RADIANS(A211)))</x:f>
        <x:v>0.6372726826746529</x:v>
      </x:c>
      <x:c r="U211" s="365" t="n">
        <x:f>IF(A211="","",0.5)</x:f>
        <x:v>0.5</x:v>
      </x:c>
      <x:c r="V211" s="365" t="n">
        <x:f>IF(A211="","",SQRT(2))</x:f>
        <x:v>1.4142135623730951</x:v>
      </x:c>
      <x:c r="W211" s="365" t="n">
        <x:f>IF(A211="","",SQRT(T211^2+U211^2))</x:f>
        <x:v>0.8100101678888659</x:v>
      </x:c>
      <x:c r="X211" s="365" t="n">
        <x:f>IF(A211="","",SQRT(T211^2+2*U211^2))</x:f>
        <x:v>0.9519015033517643</x:v>
      </x:c>
      <x:c r="Y211" s="127"/>
      <x:c r="Z211" s="127"/>
      <x:c r="AA211" s="127"/>
      <x:c r="AB211" s="127"/>
      <x:c r="AC211" s="127"/>
      <x:c r="AD211" s="127"/>
      <x:c r="AE211" s="127"/>
      <x:c r="AF211" s="127"/>
      <x:c r="AG211" s="127"/>
      <x:c r="AH211" s="127"/>
      <x:c r="AI211" s="127"/>
      <x:c r="AJ211" s="127"/>
      <x:c r="AK211" s="127"/>
      <x:c r="AL211" s="127"/>
    </x:row>
    <x:row r="212">
      <x:c r="A212" s="367" t="n">
        <x:f>IF(A211="","",IF(A211+'00_Start'!$B$12&lt;='00_Start'!$B$11,A211+'00_Start'!$B$12,""))</x:f>
        <x:v>51.88300000000049</x:v>
      </x:c>
      <x:c r="B212" s="367" t="n">
        <x:f>IF(A212="","",2/TAN(RADIANS(A212)))</x:f>
        <x:v>1.569158788588994</x:v>
      </x:c>
      <x:c r="C212" s="369" t="n">
        <x:f>IF($A212="","",ABS(2/T212-'02_Constants'!$D$6)/'02_Constants'!$D$6)</x:f>
        <x:v>0.001042489199884945</x:v>
      </x:c>
      <x:c r="D212" s="369" t="n">
        <x:f>IF($A212="","",ABS(2/(T212+2*V212)-'02_Constants'!$D$7)/'02_Constants'!$D$7)</x:f>
        <x:v>0.00023136080294968315</x:v>
      </x:c>
      <x:c r="E212" s="369" t="n">
        <x:f>IF($A212="","",ABS((T212+2*V212)/2-'02_Constants'!$D$8)/'02_Constants'!$D$8)</x:f>
        <x:v>0.00046466414153072675</x:v>
      </x:c>
      <x:c r="F212" s="369" t="n">
        <x:f>IF($A212="","",ABS((T212+2*V212)/V212-'02_Constants'!$D$9)/'02_Constants'!$D$9)</x:f>
        <x:v>0.00046466414153077467</x:v>
      </x:c>
      <x:c r="G212" s="369" t="n">
        <x:f>IF($A212="","",ABS(V212-'02_Constants'!$D$10)/'02_Constants'!$D$10)</x:f>
        <x:v>0</x:v>
      </x:c>
      <x:c r="H212" s="369" t="n">
        <x:f>IF($A212="","",ABS((W212+1)/W212-'02_Constants'!$D$11)/'02_Constants'!$D$11)</x:f>
        <x:v>0.0006839259443118974</x:v>
      </x:c>
      <x:c r="I212" s="369" t="n">
        <x:f>IF($A212="","",ABS((U212+2*V212)/(W212+1)-'02_Constants'!$D$12)/'02_Constants'!$D$12)</x:f>
        <x:v>0.00021542318302765834</x:v>
      </x:c>
      <x:c r="J212" s="369" t="n">
        <x:f>IF($A212="","",ABS(X212/U212-'02_Constants'!$D$13)/'02_Constants'!$D$13)</x:f>
        <x:v>0.0008715124607054499</x:v>
      </x:c>
      <x:c r="K212" s="369" t="n">
        <x:f>IF($A212="","",ABS(W212/(W212+U212)-'02_Constants'!$D$14)/'02_Constants'!$D$14)</x:f>
        <x:v>0.00047280464321341516</x:v>
      </x:c>
      <x:c r="L212" s="369" t="n">
        <x:f>IF($A212="","",ABS(W212/U212-'02_Constants'!$D$15)/'02_Constants'!$D$15)</x:f>
        <x:v>0.001238766299512015</x:v>
      </x:c>
      <x:c r="M212" s="369" t="n">
        <x:f>IF($A212="","",ABS(2*A212/(90-A212)-'02_Constants'!$D$16)/'02_Constants'!$D$16)</x:f>
        <x:v>0.001479080006210875</x:v>
      </x:c>
      <x:c r="N212" s="369" t="n">
        <x:f>IF($A212="","",ABS(2*A212/(90-A212)-1-'02_Constants'!$D$17)/'02_Constants'!$D$17)</x:f>
        <x:v>0.002339870117421743</x:v>
      </x:c>
      <x:c r="O212" s="369" t="n">
        <x:f>IF(A212="","",AVERAGE(C212:N212))</x:f>
        <x:v>0.0007920467450249319</x:v>
      </x:c>
      <x:c r="P212" s="369" t="n">
        <x:f>IF(A212="","",SUMPRODUCT(C212:N212,'03_12_Errors'!$P$4:$AA$4)/SUM('03_12_Errors'!$P$4:$AA$4))</x:f>
        <x:v>0.0008707158716306446</x:v>
      </x:c>
      <x:c r="Q212" s="369" t="n">
        <x:f>IF(A212="","",SQRT(SUMSQ(C212:N212)/12))</x:f>
        <x:v>0.0010110468544511884</x:v>
      </x:c>
      <x:c r="R212" s="369" t="n">
        <x:f>IF(A212="","",MAX(C212:N212))</x:f>
        <x:v>0.002339870117421743</x:v>
      </x:c>
      <x:c r="S212" s="390" t="n">
        <x:f>IF(A212="","",COUNTIF(C212:N212,"&lt;="&amp;'00_Start'!$B$7))</x:f>
        <x:v>8</x:v>
      </x:c>
      <x:c r="T212" s="365" t="n">
        <x:f>IF(A212="","",0.5*TAN(RADIANS(A212)))</x:f>
        <x:v>0.6372841341947374</x:v>
      </x:c>
      <x:c r="U212" s="365" t="n">
        <x:f>IF(A212="","",0.5)</x:f>
        <x:v>0.5</x:v>
      </x:c>
      <x:c r="V212" s="365" t="n">
        <x:f>IF(A212="","",SQRT(2))</x:f>
        <x:v>1.4142135623730951</x:v>
      </x:c>
      <x:c r="W212" s="365" t="n">
        <x:f>IF(A212="","",SQRT(T212^2+U212^2))</x:f>
        <x:v>0.8100191773633116</x:v>
      </x:c>
      <x:c r="X212" s="365" t="n">
        <x:f>IF(A212="","",SQRT(T212^2+2*U212^2))</x:f>
        <x:v>0.951909169877219</x:v>
      </x:c>
      <x:c r="Y212" s="127"/>
      <x:c r="Z212" s="127"/>
      <x:c r="AA212" s="127"/>
      <x:c r="AB212" s="127"/>
      <x:c r="AC212" s="127"/>
      <x:c r="AD212" s="127"/>
      <x:c r="AE212" s="127"/>
      <x:c r="AF212" s="127"/>
      <x:c r="AG212" s="127"/>
      <x:c r="AH212" s="127"/>
      <x:c r="AI212" s="127"/>
      <x:c r="AJ212" s="127"/>
      <x:c r="AK212" s="127"/>
      <x:c r="AL212" s="127"/>
    </x:row>
    <x:row r="213">
      <x:c r="A213" s="367" t="n">
        <x:f>IF(A212="","",IF(A212+'00_Start'!$B$12&lt;='00_Start'!$B$11,A212+'00_Start'!$B$12,""))</x:f>
        <x:v>51.883500000000495</x:v>
      </x:c>
      <x:c r="B213" s="367" t="n">
        <x:f>IF(A213="","",2/TAN(RADIANS(A213)))</x:f>
        <x:v>1.5691305918565566</x:v>
      </x:c>
      <x:c r="C213" s="369" t="n">
        <x:f>IF($A213="","",ABS(2/T213-'02_Constants'!$D$6)/'02_Constants'!$D$6)</x:f>
        <x:v>0.0010604397972707323</x:v>
      </x:c>
      <x:c r="D213" s="369" t="n">
        <x:f>IF($A213="","",ABS(2/(T213+2*V213)-'02_Constants'!$D$7)/'02_Constants'!$D$7)</x:f>
        <x:v>0.00023466433479426053</x:v>
      </x:c>
      <x:c r="E213" s="369" t="n">
        <x:f>IF($A213="","",ABS((T213+2*V213)/2-'02_Constants'!$D$8)/'02_Constants'!$D$8)</x:f>
        <x:v>0.0004679699841714393</x:v>
      </x:c>
      <x:c r="F213" s="369" t="n">
        <x:f>IF($A213="","",ABS((T213+2*V213)/V213-'02_Constants'!$D$9)/'02_Constants'!$D$9)</x:f>
        <x:v>0.00046796998417142826</x:v>
      </x:c>
      <x:c r="G213" s="369" t="n">
        <x:f>IF($A213="","",ABS(V213-'02_Constants'!$D$10)/'02_Constants'!$D$10)</x:f>
        <x:v>0</x:v>
      </x:c>
      <x:c r="H213" s="369" t="n">
        <x:f>IF($A213="","",ABS((W213+1)/W213-'02_Constants'!$D$11)/'02_Constants'!$D$11)</x:f>
        <x:v>0.0006900668391130426</x:v>
      </x:c>
      <x:c r="I213" s="369" t="n">
        <x:f>IF($A213="","",ABS((U213+2*V213)/(W213+1)-'02_Constants'!$D$12)/'02_Constants'!$D$12)</x:f>
        <x:v>0.00022039978820580922</x:v>
      </x:c>
      <x:c r="J213" s="369" t="n">
        <x:f>IF($A213="","",ABS(X213/U213-'02_Constants'!$D$13)/'02_Constants'!$D$13)</x:f>
        <x:v>0.0008795735803490901</x:v>
      </x:c>
      <x:c r="K213" s="369" t="n">
        <x:f>IF($A213="","",ABS(W213/(W213+U213)-'02_Constants'!$D$14)/'02_Constants'!$D$14)</x:f>
        <x:v>0.0004770519285998852</x:v>
      </x:c>
      <x:c r="L213" s="369" t="n">
        <x:f>IF($A213="","",ABS(W213/U213-'02_Constants'!$D$15)/'02_Constants'!$D$15)</x:f>
        <x:v>0.0012499029463527275</x:v>
      </x:c>
      <x:c r="M213" s="369" t="n">
        <x:f>IF($A213="","",ABS(2*A213/(90-A213)-'02_Constants'!$D$16)/'02_Constants'!$D$16)</x:f>
        <x:v>0.0015018685356188392</x:v>
      </x:c>
      <x:c r="N213" s="369" t="n">
        <x:f>IF($A213="","",ABS(2*A213/(90-A213)-1-'02_Constants'!$D$17)/'02_Constants'!$D$17)</x:f>
        <x:v>0.0023759210401289492</x:v>
      </x:c>
      <x:c r="O213" s="369" t="n">
        <x:f>IF(A213="","",AVERAGE(C213:N213))</x:f>
        <x:v>0.0008021523965646837</x:v>
      </x:c>
      <x:c r="P213" s="369" t="n">
        <x:f>IF(A213="","",SUMPRODUCT(C213:N213,'03_12_Errors'!$P$4:$AA$4)/SUM('03_12_Errors'!$P$4:$AA$4))</x:f>
        <x:v>0.0008825305487945201</x:v>
      </x:c>
      <x:c r="Q213" s="369" t="n">
        <x:f>IF(A213="","",SQRT(SUMSQ(C213:N213)/12))</x:f>
        <x:v>0.0010249575407163217</x:v>
      </x:c>
      <x:c r="R213" s="369" t="n">
        <x:f>IF(A213="","",MAX(C213:N213))</x:f>
        <x:v>0.0023759210401289492</x:v>
      </x:c>
      <x:c r="S213" s="390" t="n">
        <x:f>IF(A213="","",COUNTIF(C213:N213,"&lt;="&amp;'00_Start'!$B$7))</x:f>
        <x:v>8</x:v>
      </x:c>
      <x:c r="T213" s="365" t="n">
        <x:f>IF(A213="","",0.5*TAN(RADIANS(A213)))</x:f>
        <x:v>0.6372955859695685</x:v>
      </x:c>
      <x:c r="U213" s="365" t="n">
        <x:f>IF(A213="","",0.5)</x:f>
        <x:v>0.5</x:v>
      </x:c>
      <x:c r="V213" s="365" t="n">
        <x:f>IF(A213="","",SQRT(2))</x:f>
        <x:v>1.4142135623730951</x:v>
      </x:c>
      <x:c r="W213" s="365" t="n">
        <x:f>IF(A213="","",SQRT(T213^2+U213^2))</x:f>
        <x:v>0.8100281870998661</x:v>
      </x:c>
      <x:c r="X213" s="365" t="n">
        <x:f>IF(A213="","",SQRT(T213^2+2*U213^2))</x:f>
        <x:v>0.9519168366492399</x:v>
      </x:c>
      <x:c r="Y213" s="127"/>
      <x:c r="Z213" s="127"/>
      <x:c r="AA213" s="127"/>
      <x:c r="AB213" s="127"/>
      <x:c r="AC213" s="127"/>
      <x:c r="AD213" s="127"/>
      <x:c r="AE213" s="127"/>
      <x:c r="AF213" s="127"/>
      <x:c r="AG213" s="127"/>
      <x:c r="AH213" s="127"/>
      <x:c r="AI213" s="127"/>
      <x:c r="AJ213" s="127"/>
      <x:c r="AK213" s="127"/>
      <x:c r="AL213" s="127"/>
    </x:row>
    <x:row r="214">
      <x:c r="A214" s="367" t="n">
        <x:f>IF(A213="","",IF(A213+'00_Start'!$B$12&lt;='00_Start'!$B$11,A213+'00_Start'!$B$12,""))</x:f>
        <x:v>51.8840000000005</x:v>
      </x:c>
      <x:c r="B214" s="367" t="n">
        <x:f>IF(A214="","",2/TAN(RADIANS(A214)))</x:f>
        <x:v>1.569102395510222</x:v>
      </x:c>
      <x:c r="C214" s="369" t="n">
        <x:f>IF($A214="","",ABS(2/T214-'02_Constants'!$D$6)/'02_Constants'!$D$6)</x:f>
        <x:v>0.0010783901488559033</x:v>
      </x:c>
      <x:c r="D214" s="369" t="n">
        <x:f>IF($A214="","",ABS(2/(T214+2*V214)-'02_Constants'!$D$7)/'02_Constants'!$D$7)</x:f>
        <x:v>0.0002379679182970442</x:v>
      </x:c>
      <x:c r="E214" s="369" t="n">
        <x:f>IF($A214="","",ABS((T214+2*V214)/2-'02_Constants'!$D$8)/'02_Constants'!$D$8)</x:f>
        <x:v>0.0004712759003540651</x:v>
      </x:c>
      <x:c r="F214" s="369" t="n">
        <x:f>IF($A214="","",ABS((T214+2*V214)/V214-'02_Constants'!$D$9)/'02_Constants'!$D$9)</x:f>
        <x:v>0.00047127590035407054</x:v>
      </x:c>
      <x:c r="G214" s="369" t="n">
        <x:f>IF($A214="","",ABS(V214-'02_Constants'!$D$10)/'02_Constants'!$D$10)</x:f>
        <x:v>0</x:v>
      </x:c>
      <x:c r="H214" s="369" t="n">
        <x:f>IF($A214="","",ABS((W214+1)/W214-'02_Constants'!$D$11)/'02_Constants'!$D$11)</x:f>
        <x:v>0.0006962077759583863</x:v>
      </x:c>
      <x:c r="I214" s="369" t="n">
        <x:f>IF($A214="","",ABS((U214+2*V214)/(W214+1)-'02_Constants'!$D$12)/'02_Constants'!$D$12)</x:f>
        <x:v>0.00022537648862153628</x:v>
      </x:c>
      <x:c r="J214" s="369" t="n">
        <x:f>IF($A214="","",ABS(X214/U214-'02_Constants'!$D$13)/'02_Constants'!$D$13)</x:f>
        <x:v>0.0008876349592519297</x:v>
      </x:c>
      <x:c r="K214" s="369" t="n">
        <x:f>IF($A214="","",ABS(W214/(W214+U214)-'02_Constants'!$D$14)/'02_Constants'!$D$14)</x:f>
        <x:v>0.00048129927912843204</x:v>
      </x:c>
      <x:c r="L214" s="369" t="n">
        <x:f>IF($A214="","",ABS(W214/U214-'02_Constants'!$D$15)/'02_Constants'!$D$15)</x:f>
        <x:v>0.001261039917190059</x:v>
      </x:c>
      <x:c r="M214" s="369" t="n">
        <x:f>IF($A214="","",ABS(2*A214/(90-A214)-'02_Constants'!$D$16)/'02_Constants'!$D$16)</x:f>
        <x:v>0.0015246576628998876</x:v>
      </x:c>
      <x:c r="N214" s="369" t="n">
        <x:f>IF($A214="","",ABS(2*A214/(90-A214)-1-'02_Constants'!$D$17)/'02_Constants'!$D$17)</x:f>
        <x:v>0.002411972908657448</x:v>
      </x:c>
      <x:c r="O214" s="369" t="n">
        <x:f>IF(A214="","",AVERAGE(C214:N214))</x:f>
        <x:v>0.0008122582382973968</x:v>
      </x:c>
      <x:c r="P214" s="369" t="n">
        <x:f>IF(A214="","",SUMPRODUCT(C214:N214,'03_12_Errors'!$P$4:$AA$4)/SUM('03_12_Errors'!$P$4:$AA$4))</x:f>
        <x:v>0.000894345407711454</x:v>
      </x:c>
      <x:c r="Q214" s="369" t="n">
        <x:f>IF(A214="","",SQRT(SUMSQ(C214:N214)/12))</x:f>
        <x:v>0.001038878265710373</x:v>
      </x:c>
      <x:c r="R214" s="369" t="n">
        <x:f>IF(A214="","",MAX(C214:N214))</x:f>
        <x:v>0.002411972908657448</x:v>
      </x:c>
      <x:c r="S214" s="390" t="n">
        <x:f>IF(A214="","",COUNTIF(C214:N214,"&lt;="&amp;'00_Start'!$B$7))</x:f>
        <x:v>8</x:v>
      </x:c>
      <x:c r="T214" s="365" t="n">
        <x:f>IF(A214="","",0.5*TAN(RADIANS(A214)))</x:f>
        <x:v>0.6373070379991562</x:v>
      </x:c>
      <x:c r="U214" s="365" t="n">
        <x:f>IF(A214="","",0.5)</x:f>
        <x:v>0.5</x:v>
      </x:c>
      <x:c r="V214" s="365" t="n">
        <x:f>IF(A214="","",SQRT(2))</x:f>
        <x:v>1.4142135623730951</x:v>
      </x:c>
      <x:c r="W214" s="365" t="n">
        <x:f>IF(A214="","",SQRT(T214^2+U214^2))</x:f>
        <x:v>0.8100371970985394</x:v>
      </x:c>
      <x:c r="X214" s="365" t="n">
        <x:f>IF(A214="","",SQRT(T214^2+2*U214^2))</x:f>
        <x:v>0.9519245036678371</x:v>
      </x:c>
      <x:c r="Y214" s="127"/>
      <x:c r="Z214" s="127"/>
      <x:c r="AA214" s="127"/>
      <x:c r="AB214" s="127"/>
      <x:c r="AC214" s="127"/>
      <x:c r="AD214" s="127"/>
      <x:c r="AE214" s="127"/>
      <x:c r="AF214" s="127"/>
      <x:c r="AG214" s="127"/>
      <x:c r="AH214" s="127"/>
      <x:c r="AI214" s="127"/>
      <x:c r="AJ214" s="127"/>
      <x:c r="AK214" s="127"/>
      <x:c r="AL214" s="127"/>
    </x:row>
    <x:row r="215">
      <x:c r="A215" s="367" t="n">
        <x:f>IF(A214="","",IF(A214+'00_Start'!$B$12&lt;='00_Start'!$B$11,A214+'00_Start'!$B$12,""))</x:f>
        <x:v>51.8845000000005</x:v>
      </x:c>
      <x:c r="B215" s="367" t="n">
        <x:f>IF(A215="","",2/TAN(RADIANS(A215)))</x:f>
        <x:v>1.5690741995499766</x:v>
      </x:c>
      <x:c r="C215" s="369" t="n">
        <x:f>IF($A215="","",ABS(2/T215-'02_Constants'!$D$6)/'02_Constants'!$D$6)</x:f>
        <x:v>0.0010963402546489394</x:v>
      </x:c>
      <x:c r="D215" s="369" t="n">
        <x:f>IF($A215="","",ABS(2/(T215+2*V215)-'02_Constants'!$D$7)/'02_Constants'!$D$7)</x:f>
        <x:v>0.00024127155345976528</x:v>
      </x:c>
      <x:c r="E215" s="369" t="n">
        <x:f>IF($A215="","",ABS((T215+2*V215)/2-'02_Constants'!$D$8)/'02_Constants'!$D$8)</x:f>
        <x:v>0.00047458189008168085</x:v>
      </x:c>
      <x:c r="F215" s="369" t="n">
        <x:f>IF($A215="","",ABS((T215+2*V215)/V215-'02_Constants'!$D$9)/'02_Constants'!$D$9)</x:f>
        <x:v>0.00047458189008160235</x:v>
      </x:c>
      <x:c r="G215" s="369" t="n">
        <x:f>IF($A215="","",ABS(V215-'02_Constants'!$D$10)/'02_Constants'!$D$10)</x:f>
        <x:v>0</x:v>
      </x:c>
      <x:c r="H215" s="369" t="n">
        <x:f>IF($A215="","",ABS((W215+1)/W215-'02_Constants'!$D$11)/'02_Constants'!$D$11)</x:f>
        <x:v>0.000702348754848127</x:v>
      </x:c>
      <x:c r="I215" s="369" t="n">
        <x:f>IF($A215="","",ABS((U215+2*V215)/(W215+1)-'02_Constants'!$D$12)/'02_Constants'!$D$12)</x:f>
        <x:v>0.0002303532842773747</x:v>
      </x:c>
      <x:c r="J215" s="369" t="n">
        <x:f>IF($A215="","",ABS(X215/U215-'02_Constants'!$D$13)/'02_Constants'!$D$13)</x:f>
        <x:v>0.0008956965974247082</x:v>
      </x:c>
      <x:c r="K215" s="369" t="n">
        <x:f>IF($A215="","",ABS(W215/(W215+U215)-'02_Constants'!$D$14)/'02_Constants'!$D$14)</x:f>
        <x:v>0.00048554669479977414</x:v>
      </x:c>
      <x:c r="L215" s="369" t="n">
        <x:f>IF($A215="","",ABS(W215/U215-'02_Constants'!$D$15)/'02_Constants'!$D$15)</x:f>
        <x:v>0.001272177212037047</x:v>
      </x:c>
      <x:c r="M215" s="369" t="n">
        <x:f>IF($A215="","",ABS(2*A215/(90-A215)-'02_Constants'!$D$16)/'02_Constants'!$D$16)</x:f>
        <x:v>0.0015474473880775453</x:v>
      </x:c>
      <x:c r="N215" s="369" t="n">
        <x:f>IF($A215="","",ABS(2*A215/(90-A215)-1-'02_Constants'!$D$17)/'02_Constants'!$D$17)</x:f>
        <x:v>0.002448025723044456</x:v>
      </x:c>
      <x:c r="O215" s="369" t="n">
        <x:f>IF(A215="","",AVERAGE(C215:N215))</x:f>
        <x:v>0.0008223642702317517</x:v>
      </x:c>
      <x:c r="P215" s="369" t="n">
        <x:f>IF(A215="","",SUMPRODUCT(C215:N215,'03_12_Errors'!$P$4:$AA$4)/SUM('03_12_Errors'!$P$4:$AA$4))</x:f>
        <x:v>0.0009061604483913371</x:v>
      </x:c>
      <x:c r="Q215" s="369" t="n">
        <x:f>IF(A215="","",SQRT(SUMSQ(C215:N215)/12))</x:f>
        <x:v>0.0010528086432698524</x:v>
      </x:c>
      <x:c r="R215" s="369" t="n">
        <x:f>IF(A215="","",MAX(C215:N215))</x:f>
        <x:v>0.002448025723044456</x:v>
      </x:c>
      <x:c r="S215" s="390" t="n">
        <x:f>IF(A215="","",COUNTIF(C215:N215,"&lt;="&amp;'00_Start'!$B$7))</x:f>
        <x:v>8</x:v>
      </x:c>
      <x:c r="T215" s="365" t="n">
        <x:f>IF(A215="","",0.5*TAN(RADIANS(A215)))</x:f>
        <x:v>0.6373184902835113</x:v>
      </x:c>
      <x:c r="U215" s="365" t="n">
        <x:f>IF(A215="","",0.5)</x:f>
        <x:v>0.5</x:v>
      </x:c>
      <x:c r="V215" s="365" t="n">
        <x:f>IF(A215="","",SQRT(2))</x:f>
        <x:v>1.4142135623730951</x:v>
      </x:c>
      <x:c r="W215" s="365" t="n">
        <x:f>IF(A215="","",SQRT(T215^2+U215^2))</x:f>
        <x:v>0.810046207359342</x:v>
      </x:c>
      <x:c r="X215" s="365" t="n">
        <x:f>IF(A215="","",SQRT(T215^2+2*U215^2))</x:f>
        <x:v>0.9519321709330208</x:v>
      </x:c>
      <x:c r="Y215" s="127"/>
      <x:c r="Z215" s="127"/>
      <x:c r="AA215" s="127"/>
      <x:c r="AB215" s="127"/>
      <x:c r="AC215" s="127"/>
      <x:c r="AD215" s="127"/>
      <x:c r="AE215" s="127"/>
      <x:c r="AF215" s="127"/>
      <x:c r="AG215" s="127"/>
      <x:c r="AH215" s="127"/>
      <x:c r="AI215" s="127"/>
      <x:c r="AJ215" s="127"/>
      <x:c r="AK215" s="127"/>
      <x:c r="AL215" s="127"/>
    </x:row>
    <x:row r="216">
      <x:c r="A216" s="367" t="n">
        <x:f>IF(A215="","",IF(A215+'00_Start'!$B$12&lt;='00_Start'!$B$11,A215+'00_Start'!$B$12,""))</x:f>
        <x:v>51.8850000000005</x:v>
      </x:c>
      <x:c r="B216" s="367" t="n">
        <x:f>IF(A216="","",2/TAN(RADIANS(A216)))</x:f>
        <x:v>1.5690460039758094</x:v>
      </x:c>
      <x:c r="C216" s="369" t="n">
        <x:f>IF($A216="","",ABS(2/T216-'02_Constants'!$D$6)/'02_Constants'!$D$6)</x:f>
        <x:v>0.0011142901146570497</x:v>
      </x:c>
      <x:c r="D216" s="369" t="n">
        <x:f>IF($A216="","",ABS(2/(T216+2*V216)-'02_Constants'!$D$7)/'02_Constants'!$D$7)</x:f>
        <x:v>0.0002445752402841548</x:v>
      </x:c>
      <x:c r="E216" s="369" t="n">
        <x:f>IF($A216="","",ABS((T216+2*V216)/2-'02_Constants'!$D$8)/'02_Constants'!$D$8)</x:f>
        <x:v>0.00047788795335723503</x:v>
      </x:c>
      <x:c r="F216" s="369" t="n">
        <x:f>IF($A216="","",ABS((T216+2*V216)/V216-'02_Constants'!$D$9)/'02_Constants'!$D$9)</x:f>
        <x:v>0.0004778879533572871</x:v>
      </x:c>
      <x:c r="G216" s="369" t="n">
        <x:f>IF($A216="","",ABS(V216-'02_Constants'!$D$10)/'02_Constants'!$D$10)</x:f>
        <x:v>0</x:v>
      </x:c>
      <x:c r="H216" s="369" t="n">
        <x:f>IF($A216="","",ABS((W216+1)/W216-'02_Constants'!$D$11)/'02_Constants'!$D$11)</x:f>
        <x:v>0.0007084897757812718</x:v>
      </x:c>
      <x:c r="I216" s="369" t="n">
        <x:f>IF($A216="","",ABS((U216+2*V216)/(W216+1)-'02_Constants'!$D$12)/'02_Constants'!$D$12)</x:f>
        <x:v>0.00023533017517513534</x:v>
      </x:c>
      <x:c r="J216" s="369" t="n">
        <x:f>IF($A216="","",ABS(X216/U216-'02_Constants'!$D$13)/'02_Constants'!$D$13)</x:f>
        <x:v>0.0009037584948779313</x:v>
      </x:c>
      <x:c r="K216" s="369" t="n">
        <x:f>IF($A216="","",ABS(W216/(W216+U216)-'02_Constants'!$D$14)/'02_Constants'!$D$14)</x:f>
        <x:v>0.0004897941756149894</x:v>
      </x:c>
      <x:c r="L216" s="369" t="n">
        <x:f>IF($A216="","",ABS(W216/U216-'02_Constants'!$D$15)/'02_Constants'!$D$15)</x:f>
        <x:v>0.0012833148309059047</x:v>
      </x:c>
      <x:c r="M216" s="369" t="n">
        <x:f>IF($A216="","",ABS(2*A216/(90-A216)-'02_Constants'!$D$16)/'02_Constants'!$D$16)</x:f>
        <x:v>0.0015702377111751749</x:v>
      </x:c>
      <x:c r="N216" s="369" t="n">
        <x:f>IF($A216="","",ABS(2*A216/(90-A216)-1-'02_Constants'!$D$17)/'02_Constants'!$D$17)</x:f>
        <x:v>0.0024840794833269316</x:v>
      </x:c>
      <x:c r="O216" s="369" t="n">
        <x:f>IF(A216="","",AVERAGE(C216:N216))</x:f>
        <x:v>0.0008324704923760888</x:v>
      </x:c>
      <x:c r="P216" s="369" t="n">
        <x:f>IF(A216="","",SUMPRODUCT(C216:N216,'03_12_Errors'!$P$4:$AA$4)/SUM('03_12_Errors'!$P$4:$AA$4))</x:f>
        <x:v>0.0009179756708435753</x:v>
      </x:c>
      <x:c r="Q216" s="369" t="n">
        <x:f>IF(A216="","",SQRT(SUMSQ(C216:N216)/12))</x:f>
        <x:v>0.001066748307134072</x:v>
      </x:c>
      <x:c r="R216" s="369" t="n">
        <x:f>IF(A216="","",MAX(C216:N216))</x:f>
        <x:v>0.0024840794833269316</x:v>
      </x:c>
      <x:c r="S216" s="390" t="n">
        <x:f>IF(A216="","",COUNTIF(C216:N216,"&lt;="&amp;'00_Start'!$B$7))</x:f>
        <x:v>8</x:v>
      </x:c>
      <x:c r="T216" s="365" t="n">
        <x:f>IF(A216="","",0.5*TAN(RADIANS(A216)))</x:f>
        <x:v>0.6373299428226435</x:v>
      </x:c>
      <x:c r="U216" s="365" t="n">
        <x:f>IF(A216="","",0.5)</x:f>
        <x:v>0.5</x:v>
      </x:c>
      <x:c r="V216" s="365" t="n">
        <x:f>IF(A216="","",SQRT(2))</x:f>
        <x:v>1.4142135623730951</x:v>
      </x:c>
      <x:c r="W216" s="365" t="n">
        <x:f>IF(A216="","",SQRT(T216^2+U216^2))</x:f>
        <x:v>0.8100552178822837</x:v>
      </x:c>
      <x:c r="X216" s="365" t="n">
        <x:f>IF(A216="","",SQRT(T216^2+2*U216^2))</x:f>
        <x:v>0.9519398384448011</x:v>
      </x:c>
      <x:c r="Y216" s="127"/>
      <x:c r="Z216" s="127"/>
      <x:c r="AA216" s="127"/>
      <x:c r="AB216" s="127"/>
      <x:c r="AC216" s="127"/>
      <x:c r="AD216" s="127"/>
      <x:c r="AE216" s="127"/>
      <x:c r="AF216" s="127"/>
      <x:c r="AG216" s="127"/>
      <x:c r="AH216" s="127"/>
      <x:c r="AI216" s="127"/>
      <x:c r="AJ216" s="127"/>
      <x:c r="AK216" s="127"/>
      <x:c r="AL216" s="127"/>
    </x:row>
    <x:row r="217">
      <x:c r="A217" s="367" t="n">
        <x:f>IF(A216="","",IF(A216+'00_Start'!$B$12&lt;='00_Start'!$B$11,A216+'00_Start'!$B$12,""))</x:f>
        <x:v>51.885500000000505</x:v>
      </x:c>
      <x:c r="B217" s="367" t="n">
        <x:f>IF(A217="","",2/TAN(RADIANS(A217)))</x:f>
        <x:v>1.5690178087877076</x:v>
      </x:c>
      <x:c r="C217" s="369" t="n">
        <x:f>IF($A217="","",ABS(2/T217-'02_Constants'!$D$6)/'02_Constants'!$D$6)</x:f>
        <x:v>0.001132239728888292</x:v>
      </x:c>
      <x:c r="D217" s="369" t="n">
        <x:f>IF($A217="","",ABS(2/(T217+2*V217)-'02_Constants'!$D$7)/'02_Constants'!$D$7)</x:f>
        <x:v>0.0002478789787717515</x:v>
      </x:c>
      <x:c r="E217" s="369" t="n">
        <x:f>IF($A217="","",ABS((T217+2*V217)/2-'02_Constants'!$D$8)/'02_Constants'!$D$8)</x:f>
        <x:v>0.00048119409018354797</x:v>
      </x:c>
      <x:c r="F217" s="369" t="n">
        <x:f>IF($A217="","",ABS((T217+2*V217)/V217-'02_Constants'!$D$9)/'02_Constants'!$D$9)</x:f>
        <x:v>0.00048119409018348156</x:v>
      </x:c>
      <x:c r="G217" s="369" t="n">
        <x:f>IF($A217="","",ABS(V217-'02_Constants'!$D$10)/'02_Constants'!$D$10)</x:f>
        <x:v>0</x:v>
      </x:c>
      <x:c r="H217" s="369" t="n">
        <x:f>IF($A217="","",ABS((W217+1)/W217-'02_Constants'!$D$11)/'02_Constants'!$D$11)</x:f>
        <x:v>0.0007146308387576219</x:v>
      </x:c>
      <x:c r="I217" s="369" t="n">
        <x:f>IF($A217="","",ABS((U217+2*V217)/(W217+1)-'02_Constants'!$D$12)/'02_Constants'!$D$12)</x:f>
        <x:v>0.00024030716131674977</x:v>
      </x:c>
      <x:c r="J217" s="369" t="n">
        <x:f>IF($A217="","",ABS(X217/U217-'02_Constants'!$D$13)/'02_Constants'!$D$13)</x:f>
        <x:v>0.0009118206516223386</x:v>
      </x:c>
      <x:c r="K217" s="369" t="n">
        <x:f>IF($A217="","",ABS(W217/(W217+U217)-'02_Constants'!$D$14)/'02_Constants'!$D$14)</x:f>
        <x:v>0.0004940417215747964</x:v>
      </x:c>
      <x:c r="L217" s="369" t="n">
        <x:f>IF($A217="","",ABS(W217/U217-'02_Constants'!$D$15)/'02_Constants'!$D$15)</x:f>
        <x:v>0.0012944527738091203</x:v>
      </x:c>
      <x:c r="M217" s="369" t="n">
        <x:f>IF($A217="","",ABS(2*A217/(90-A217)-'02_Constants'!$D$16)/'02_Constants'!$D$16)</x:f>
        <x:v>0.001593028632216628</x:v>
      </x:c>
      <x:c r="N217" s="369" t="n">
        <x:f>IF($A217="","",ABS(2*A217/(90-A217)-1-'02_Constants'!$D$17)/'02_Constants'!$D$17)</x:f>
        <x:v>0.002520134189542609</x:v>
      </x:c>
      <x:c r="O217" s="369" t="n">
        <x:f>IF(A217="","",AVERAGE(C217:N217))</x:f>
        <x:v>0.0008425769047389113</x:v>
      </x:c>
      <x:c r="P217" s="369" t="n">
        <x:f>IF(A217="","",SUMPRODUCT(C217:N217,'03_12_Errors'!$P$4:$AA$4)/SUM('03_12_Errors'!$P$4:$AA$4))</x:f>
        <x:v>0.0009297910750778511</x:v>
      </x:c>
      <x:c r="Q217" s="369" t="n">
        <x:f>IF(A217="","",SQRT(SUMSQ(C217:N217)/12))</x:f>
        <x:v>0.0010806969096951529</x:v>
      </x:c>
      <x:c r="R217" s="369" t="n">
        <x:f>IF(A217="","",MAX(C217:N217))</x:f>
        <x:v>0.002520134189542609</x:v>
      </x:c>
      <x:c r="S217" s="390" t="n">
        <x:f>IF(A217="","",COUNTIF(C217:N217,"&lt;="&amp;'00_Start'!$B$7))</x:f>
        <x:v>8</x:v>
      </x:c>
      <x:c r="T217" s="365" t="n">
        <x:f>IF(A217="","",0.5*TAN(RADIANS(A217)))</x:f>
        <x:v>0.6373413956165636</x:v>
      </x:c>
      <x:c r="U217" s="365" t="n">
        <x:f>IF(A217="","",0.5)</x:f>
        <x:v>0.5</x:v>
      </x:c>
      <x:c r="V217" s="365" t="n">
        <x:f>IF(A217="","",SQRT(2))</x:f>
        <x:v>1.4142135623730951</x:v>
      </x:c>
      <x:c r="W217" s="365" t="n">
        <x:f>IF(A217="","",SQRT(T217^2+U217^2))</x:f>
        <x:v>0.8100642286673748</x:v>
      </x:c>
      <x:c r="X217" s="365" t="n">
        <x:f>IF(A217="","",SQRT(T217^2+2*U217^2))</x:f>
        <x:v>0.9519475062031881</x:v>
      </x:c>
      <x:c r="Y217" s="127"/>
      <x:c r="Z217" s="127"/>
      <x:c r="AA217" s="127"/>
      <x:c r="AB217" s="127"/>
      <x:c r="AC217" s="127"/>
      <x:c r="AD217" s="127"/>
      <x:c r="AE217" s="127"/>
      <x:c r="AF217" s="127"/>
      <x:c r="AG217" s="127"/>
      <x:c r="AH217" s="127"/>
      <x:c r="AI217" s="127"/>
      <x:c r="AJ217" s="127"/>
      <x:c r="AK217" s="127"/>
      <x:c r="AL217" s="127"/>
    </x:row>
    <x:row r="218">
      <x:c r="A218" s="367" t="n">
        <x:f>IF(A217="","",IF(A217+'00_Start'!$B$12&lt;='00_Start'!$B$11,A217+'00_Start'!$B$12,""))</x:f>
        <x:v>51.88600000000051</x:v>
      </x:c>
      <x:c r="B218" s="367" t="n">
        <x:f>IF(A218="","",2/TAN(RADIANS(A218)))</x:f>
        <x:v>1.568989613985659</x:v>
      </x:c>
      <x:c r="C218" s="369" t="n">
        <x:f>IF($A218="","",ABS(2/T218-'02_Constants'!$D$6)/'02_Constants'!$D$6)</x:f>
        <x:v>0.0011501890973504405</x:v>
      </x:c>
      <x:c r="D218" s="369" t="n">
        <x:f>IF($A218="","",ABS(2/(T218+2*V218)-'02_Constants'!$D$7)/'02_Constants'!$D$7)</x:f>
        <x:v>0.00025118276892467114</x:v>
      </x:c>
      <x:c r="E218" s="369" t="n">
        <x:f>IF($A218="","",ABS((T218+2*V218)/2-'02_Constants'!$D$8)/'02_Constants'!$D$8)</x:f>
        <x:v>0.0004845003005636965</x:v>
      </x:c>
      <x:c r="F218" s="369" t="n">
        <x:f>IF($A218="","",ABS((T218+2*V218)/V218-'02_Constants'!$D$9)/'02_Constants'!$D$9)</x:f>
        <x:v>0.00048450030056363053</x:v>
      </x:c>
      <x:c r="G218" s="369" t="n">
        <x:f>IF($A218="","",ABS(V218-'02_Constants'!$D$10)/'02_Constants'!$D$10)</x:f>
        <x:v>0</x:v>
      </x:c>
      <x:c r="H218" s="369" t="n">
        <x:f>IF($A218="","",ABS((W218+1)/W218-'02_Constants'!$D$11)/'02_Constants'!$D$11)</x:f>
        <x:v>0.0007207719437767803</x:v>
      </x:c>
      <x:c r="I218" s="369" t="n">
        <x:f>IF($A218="","",ABS((U218+2*V218)/(W218+1)-'02_Constants'!$D$12)/'02_Constants'!$D$12)</x:f>
        <x:v>0.0002452842427042703</x:v>
      </x:c>
      <x:c r="J218" s="369" t="n">
        <x:f>IF($A218="","",ABS(X218/U218-'02_Constants'!$D$13)/'02_Constants'!$D$13)</x:f>
        <x:v>0.0009198830676685529</x:v>
      </x:c>
      <x:c r="K218" s="369" t="n">
        <x:f>IF($A218="","",ABS(W218/(W218+U218)-'02_Constants'!$D$14)/'02_Constants'!$D$14)</x:f>
        <x:v>0.0004982893326802729</x:v>
      </x:c>
      <x:c r="L218" s="369" t="n">
        <x:f>IF($A218="","",ABS(W218/U218-'02_Constants'!$D$15)/'02_Constants'!$D$15)</x:f>
        <x:v>0.001305591040759456</x:v>
      </x:c>
      <x:c r="M218" s="369" t="n">
        <x:f>IF($A218="","",ABS(2*A218/(90-A218)-'02_Constants'!$D$16)/'02_Constants'!$D$16)</x:f>
        <x:v>0.0016158201512251039</x:v>
      </x:c>
      <x:c r="N218" s="369" t="n">
        <x:f>IF($A218="","",ABS(2*A218/(90-A218)-1-'02_Constants'!$D$17)/'02_Constants'!$D$17)</x:f>
        <x:v>0.0025561898417281867</x:v>
      </x:c>
      <x:c r="O218" s="369" t="n">
        <x:f>IF(A218="","",AVERAGE(C218:N218))</x:f>
        <x:v>0.0008526835073287552</x:v>
      </x:c>
      <x:c r="P218" s="369" t="n">
        <x:f>IF(A218="","",SUMPRODUCT(C218:N218,'03_12_Errors'!$P$4:$AA$4)/SUM('03_12_Errors'!$P$4:$AA$4))</x:f>
        <x:v>0.0009416066611037907</x:v>
      </x:c>
      <x:c r="Q218" s="369" t="n">
        <x:f>IF(A218="","",SQRT(SUMSQ(C218:N218)/12))</x:f>
        <x:v>0.0010946541208388199</x:v>
      </x:c>
      <x:c r="R218" s="369" t="n">
        <x:f>IF(A218="","",MAX(C218:N218))</x:f>
        <x:v>0.0025561898417281867</x:v>
      </x:c>
      <x:c r="S218" s="390" t="n">
        <x:f>IF(A218="","",COUNTIF(C218:N218,"&lt;="&amp;'00_Start'!$B$7))</x:f>
        <x:v>8</x:v>
      </x:c>
      <x:c r="T218" s="365" t="n">
        <x:f>IF(A218="","",0.5*TAN(RADIANS(A218)))</x:f>
        <x:v>0.6373528486652814</x:v>
      </x:c>
      <x:c r="U218" s="365" t="n">
        <x:f>IF(A218="","",0.5)</x:f>
        <x:v>0.5</x:v>
      </x:c>
      <x:c r="V218" s="365" t="n">
        <x:f>IF(A218="","",SQRT(2))</x:f>
        <x:v>1.4142135623730951</x:v>
      </x:c>
      <x:c r="W218" s="365" t="n">
        <x:f>IF(A218="","",SQRT(T218^2+U218^2))</x:f>
        <x:v>0.8100732397146255</x:v>
      </x:c>
      <x:c r="X218" s="365" t="n">
        <x:f>IF(A218="","",SQRT(T218^2+2*U218^2))</x:f>
        <x:v>0.951955174208192</x:v>
      </x:c>
      <x:c r="Y218" s="127"/>
      <x:c r="Z218" s="127"/>
      <x:c r="AA218" s="127"/>
      <x:c r="AB218" s="127"/>
      <x:c r="AC218" s="127"/>
      <x:c r="AD218" s="127"/>
      <x:c r="AE218" s="127"/>
      <x:c r="AF218" s="127"/>
      <x:c r="AG218" s="127"/>
      <x:c r="AH218" s="127"/>
      <x:c r="AI218" s="127"/>
      <x:c r="AJ218" s="127"/>
      <x:c r="AK218" s="127"/>
      <x:c r="AL218" s="127"/>
    </x:row>
    <x:row r="219">
      <x:c r="A219" s="367" t="n">
        <x:f>IF(A218="","",IF(A218+'00_Start'!$B$12&lt;='00_Start'!$B$11,A218+'00_Start'!$B$12,""))</x:f>
        <x:v>51.88650000000051</x:v>
      </x:c>
      <x:c r="B219" s="367" t="n">
        <x:f>IF(A219="","",2/TAN(RADIANS(A219)))</x:f>
        <x:v>1.5689614195696517</x:v>
      </x:c>
      <x:c r="C219" s="369" t="n">
        <x:f>IF($A219="","",ABS(2/T219-'02_Constants'!$D$6)/'02_Constants'!$D$6)</x:f>
        <x:v>0.0011681382200509874</x:v>
      </x:c>
      <x:c r="D219" s="369" t="n">
        <x:f>IF($A219="","",ABS(2/(T219+2*V219)-'02_Constants'!$D$7)/'02_Constants'!$D$7)</x:f>
        <x:v>0.0002544866107440678</x:v>
      </x:c>
      <x:c r="E219" s="369" t="n">
        <x:f>IF($A219="","",ABS((T219+2*V219)/2-'02_Constants'!$D$8)/'02_Constants'!$D$8)</x:f>
        <x:v>0.0004878065845005009</x:v>
      </x:c>
      <x:c r="F219" s="369" t="n">
        <x:f>IF($A219="","",ABS((T219+2*V219)/V219-'02_Constants'!$D$9)/'02_Constants'!$D$9)</x:f>
        <x:v>0.0004878065845004534</x:v>
      </x:c>
      <x:c r="G219" s="369" t="n">
        <x:f>IF($A219="","",ABS(V219-'02_Constants'!$D$10)/'02_Constants'!$D$10)</x:f>
        <x:v>0</x:v>
      </x:c>
      <x:c r="H219" s="369" t="n">
        <x:f>IF($A219="","",ABS((W219+1)/W219-'02_Constants'!$D$11)/'02_Constants'!$D$11)</x:f>
        <x:v>0.0007269130908379523</x:v>
      </x:c>
      <x:c r="I219" s="369" t="n">
        <x:f>IF($A219="","",ABS((U219+2*V219)/(W219+1)-'02_Constants'!$D$12)/'02_Constants'!$D$12)</x:f>
        <x:v>0.00025026141933962845</x:v>
      </x:c>
      <x:c r="J219" s="369" t="n">
        <x:f>IF($A219="","",ABS(X219/U219-'02_Constants'!$D$13)/'02_Constants'!$D$13)</x:f>
        <x:v>0.0009279457430269631</x:v>
      </x:c>
      <x:c r="K219" s="369" t="n">
        <x:f>IF($A219="","",ABS(W219/(W219+U219)-'02_Constants'!$D$14)/'02_Constants'!$D$14)</x:f>
        <x:v>0.000502537008931958</x:v>
      </x:c>
      <x:c r="L219" s="369" t="n">
        <x:f>IF($A219="","",ABS(W219/U219-'02_Constants'!$D$15)/'02_Constants'!$D$15)</x:f>
        <x:v>0.0013167296317689887</x:v>
      </x:c>
      <x:c r="M219" s="369" t="n">
        <x:f>IF($A219="","",ABS(2*A219/(90-A219)-'02_Constants'!$D$16)/'02_Constants'!$D$16)</x:f>
        <x:v>0.0016386122682244544</x:v>
      </x:c>
      <x:c r="N219" s="369" t="n">
        <x:f>IF($A219="","",ABS(2*A219/(90-A219)-1-'02_Constants'!$D$17)/'02_Constants'!$D$17)</x:f>
        <x:v>0.0025922464399214</x:v>
      </x:c>
      <x:c r="O219" s="369" t="n">
        <x:f>IF(A219="","",AVERAGE(C219:N219))</x:f>
        <x:v>0.0008627903001539461</x:v>
      </x:c>
      <x:c r="P219" s="369" t="n">
        <x:f>IF(A219="","",SUMPRODUCT(C219:N219,'03_12_Errors'!$P$4:$AA$4)/SUM('03_12_Errors'!$P$4:$AA$4))</x:f>
        <x:v>0.0009534224289308581</x:v>
      </x:c>
      <x:c r="Q219" s="369" t="n">
        <x:f>IF(A219="","",SQRT(SUMSQ(C219:N219)/12))</x:f>
        <x:v>0.0011086196268703145</x:v>
      </x:c>
      <x:c r="R219" s="369" t="n">
        <x:f>IF(A219="","",MAX(C219:N219))</x:f>
        <x:v>0.0025922464399214</x:v>
      </x:c>
      <x:c r="S219" s="390" t="n">
        <x:f>IF(A219="","",COUNTIF(C219:N219,"&lt;="&amp;'00_Start'!$B$7))</x:f>
        <x:v>8</x:v>
      </x:c>
      <x:c r="T219" s="365" t="n">
        <x:f>IF(A219="","",0.5*TAN(RADIANS(A219)))</x:f>
        <x:v>0.6373643019688072</x:v>
      </x:c>
      <x:c r="U219" s="365" t="n">
        <x:f>IF(A219="","",0.5)</x:f>
        <x:v>0.5</x:v>
      </x:c>
      <x:c r="V219" s="365" t="n">
        <x:f>IF(A219="","",SQRT(2))</x:f>
        <x:v>1.4142135623730951</x:v>
      </x:c>
      <x:c r="W219" s="365" t="n">
        <x:f>IF(A219="","",SQRT(T219^2+U219^2))</x:f>
        <x:v>0.8100822510240456</x:v>
      </x:c>
      <x:c r="X219" s="365" t="n">
        <x:f>IF(A219="","",SQRT(T219^2+2*U219^2))</x:f>
        <x:v>0.9519628424598225</x:v>
      </x:c>
      <x:c r="Y219" s="127"/>
      <x:c r="Z219" s="127"/>
      <x:c r="AA219" s="127"/>
      <x:c r="AB219" s="127"/>
      <x:c r="AC219" s="127"/>
      <x:c r="AD219" s="127"/>
      <x:c r="AE219" s="127"/>
      <x:c r="AF219" s="127"/>
      <x:c r="AG219" s="127"/>
      <x:c r="AH219" s="127"/>
      <x:c r="AI219" s="127"/>
      <x:c r="AJ219" s="127"/>
      <x:c r="AK219" s="127"/>
      <x:c r="AL219" s="127"/>
    </x:row>
    <x:row r="220">
      <x:c r="A220" s="367" t="n">
        <x:f>IF(A219="","",IF(A219+'00_Start'!$B$12&lt;='00_Start'!$B$11,A219+'00_Start'!$B$12,""))</x:f>
        <x:v>51.88700000000051</x:v>
      </x:c>
      <x:c r="B220" s="367" t="n">
        <x:f>IF(A220="","",2/TAN(RADIANS(A220)))</x:f>
        <x:v>1.568933225539673</x:v>
      </x:c>
      <x:c r="C220" s="369" t="n">
        <x:f>IF($A220="","",ABS(2/T220-'02_Constants'!$D$6)/'02_Constants'!$D$6)</x:f>
        <x:v>0.0011860870969981315</x:v>
      </x:c>
      <x:c r="D220" s="369" t="n">
        <x:f>IF($A220="","",ABS(2/(T220+2*V220)-'02_Constants'!$D$7)/'02_Constants'!$D$7)</x:f>
        <x:v>0.00025779050423205713</x:v>
      </x:c>
      <x:c r="E220" s="369" t="n">
        <x:f>IF($A220="","",ABS((T220+2*V220)/2-'02_Constants'!$D$8)/'02_Constants'!$D$8)</x:f>
        <x:v>0.0004911129419971662</x:v>
      </x:c>
      <x:c r="F220" s="369" t="n">
        <x:f>IF($A220="","",ABS((T220+2*V220)/V220-'02_Constants'!$D$9)/'02_Constants'!$D$9)</x:f>
        <x:v>0.0004911129419972136</x:v>
      </x:c>
      <x:c r="G220" s="369" t="n">
        <x:f>IF($A220="","",ABS(V220-'02_Constants'!$D$10)/'02_Constants'!$D$10)</x:f>
        <x:v>0</x:v>
      </x:c>
      <x:c r="H220" s="369" t="n">
        <x:f>IF($A220="","",ABS((W220+1)/W220-'02_Constants'!$D$11)/'02_Constants'!$D$11)</x:f>
        <x:v>0.0007330542799409397</x:v>
      </x:c>
      <x:c r="I220" s="369" t="n">
        <x:f>IF($A220="","",ABS((U220+2*V220)/(W220+1)-'02_Constants'!$D$12)/'02_Constants'!$D$12)</x:f>
        <x:v>0.0002552386912249973</x:v>
      </x:c>
      <x:c r="J220" s="369" t="n">
        <x:f>IF($A220="","",ABS(X220/U220-'02_Constants'!$D$13)/'02_Constants'!$D$13)</x:f>
        <x:v>0.0009360086777084255</x:v>
      </x:c>
      <x:c r="K220" s="369" t="n">
        <x:f>IF($A220="","",ABS(W220/(W220+U220)-'02_Constants'!$D$14)/'02_Constants'!$D$14)</x:f>
        <x:v>0.0005067847503309291</x:v>
      </x:c>
      <x:c r="L220" s="369" t="n">
        <x:f>IF($A220="","",ABS(W220/U220-'02_Constants'!$D$15)/'02_Constants'!$D$15)</x:f>
        <x:v>0.0013278685468506176</x:v>
      </x:c>
      <x:c r="M220" s="369" t="n">
        <x:f>IF($A220="","",ABS(2*A220/(90-A220)-'02_Constants'!$D$16)/'02_Constants'!$D$16)</x:f>
        <x:v>0.0016614049832378785</x:v>
      </x:c>
      <x:c r="N220" s="369" t="n">
        <x:f>IF($A220="","",ABS(2*A220/(90-A220)-1-'02_Constants'!$D$17)/'02_Constants'!$D$17)</x:f>
        <x:v>0.0026283039841589473</x:v>
      </x:c>
      <x:c r="O220" s="369" t="n">
        <x:f>IF(A220="","",AVERAGE(C220:N220))</x:f>
        <x:v>0.0008728972832231086</x:v>
      </x:c>
      <x:c r="P220" s="369" t="n">
        <x:f>IF(A220="","",SUMPRODUCT(C220:N220,'03_12_Errors'!$P$4:$AA$4)/SUM('03_12_Errors'!$P$4:$AA$4))</x:f>
        <x:v>0.0009652383785688237</x:v>
      </x:c>
      <x:c r="Q220" s="369" t="n">
        <x:f>IF(A220="","",SQRT(SUMSQ(C220:N220)/12))</x:f>
        <x:v>0.00112259312951725</x:v>
      </x:c>
      <x:c r="R220" s="369" t="n">
        <x:f>IF(A220="","",MAX(C220:N220))</x:f>
        <x:v>0.0026283039841589473</x:v>
      </x:c>
      <x:c r="S220" s="390" t="n">
        <x:f>IF(A220="","",COUNTIF(C220:N220,"&lt;="&amp;'00_Start'!$B$7))</x:f>
        <x:v>8</x:v>
      </x:c>
      <x:c r="T220" s="365" t="n">
        <x:f>IF(A220="","",0.5*TAN(RADIANS(A220)))</x:f>
        <x:v>0.6373757555271515</x:v>
      </x:c>
      <x:c r="U220" s="365" t="n">
        <x:f>IF(A220="","",0.5)</x:f>
        <x:v>0.5</x:v>
      </x:c>
      <x:c r="V220" s="365" t="n">
        <x:f>IF(A220="","",SQRT(2))</x:f>
        <x:v>1.4142135623730951</x:v>
      </x:c>
      <x:c r="W220" s="365" t="n">
        <x:f>IF(A220="","",SQRT(T220^2+U220^2))</x:f>
        <x:v>0.8100912625956456</x:v>
      </x:c>
      <x:c r="X220" s="365" t="n">
        <x:f>IF(A220="","",SQRT(T220^2+2*U220^2))</x:f>
        <x:v>0.9519705109580902</x:v>
      </x:c>
      <x:c r="Y220" s="127"/>
      <x:c r="Z220" s="127"/>
      <x:c r="AA220" s="127"/>
      <x:c r="AB220" s="127"/>
      <x:c r="AC220" s="127"/>
      <x:c r="AD220" s="127"/>
      <x:c r="AE220" s="127"/>
      <x:c r="AF220" s="127"/>
      <x:c r="AG220" s="127"/>
      <x:c r="AH220" s="127"/>
      <x:c r="AI220" s="127"/>
      <x:c r="AJ220" s="127"/>
      <x:c r="AK220" s="127"/>
      <x:c r="AL220" s="127"/>
    </x:row>
    <x:row r="221">
      <x:c r="A221" s="367" t="n">
        <x:f>IF(A220="","",IF(A220+'00_Start'!$B$12&lt;='00_Start'!$B$11,A220+'00_Start'!$B$12,""))</x:f>
        <x:v>51.887500000000514</x:v>
      </x:c>
      <x:c r="B221" s="367" t="n">
        <x:f>IF(A221="","",2/TAN(RADIANS(A221)))</x:f>
        <x:v>1.5689050318957114</x:v>
      </x:c>
      <x:c r="C221" s="369" t="n">
        <x:f>IF($A221="","",ABS(2/T221-'02_Constants'!$D$6)/'02_Constants'!$D$6)</x:f>
        <x:v>0.0012040357281992234</x:v>
      </x:c>
      <x:c r="D221" s="369" t="n">
        <x:f>IF($A221="","",ABS(2/(T221+2*V221)-'02_Constants'!$D$7)/'02_Constants'!$D$7)</x:f>
        <x:v>0.00026109444939056265</x:v>
      </x:c>
      <x:c r="E221" s="369" t="n">
        <x:f>IF($A221="","",ABS((T221+2*V221)/2-'02_Constants'!$D$8)/'02_Constants'!$D$8)</x:f>
        <x:v>0.0004944193730565125</x:v>
      </x:c>
      <x:c r="F221" s="369" t="n">
        <x:f>IF($A221="","",ABS((T221+2*V221)/V221-'02_Constants'!$D$9)/'02_Constants'!$D$9)</x:f>
        <x:v>0.0004944193730564492</x:v>
      </x:c>
      <x:c r="G221" s="369" t="n">
        <x:f>IF($A221="","",ABS(V221-'02_Constants'!$D$10)/'02_Constants'!$D$10)</x:f>
        <x:v>0</x:v>
      </x:c>
      <x:c r="H221" s="369" t="n">
        <x:f>IF($A221="","",ABS((W221+1)/W221-'02_Constants'!$D$11)/'02_Constants'!$D$11)</x:f>
        <x:v>0.0007391955110849478</x:v>
      </x:c>
      <x:c r="I221" s="369" t="n">
        <x:f>IF($A221="","",ABS((U221+2*V221)/(W221+1)-'02_Constants'!$D$12)/'02_Constants'!$D$12)</x:f>
        <x:v>0.0002602160583623084</x:v>
      </x:c>
      <x:c r="J221" s="369" t="n">
        <x:f>IF($A221="","",ABS(X221/U221-'02_Constants'!$D$13)/'02_Constants'!$D$13)</x:f>
        <x:v>0.0009440718717233295</x:v>
      </x:c>
      <x:c r="K221" s="369" t="n">
        <x:f>IF($A221="","",ABS(W221/(W221+U221)-'02_Constants'!$D$14)/'02_Constants'!$D$14)</x:f>
        <x:v>0.0005110325568779052</x:v>
      </x:c>
      <x:c r="L221" s="369" t="n">
        <x:f>IF($A221="","",ABS(W221/U221-'02_Constants'!$D$15)/'02_Constants'!$D$15)</x:f>
        <x:v>0.001339007786016694</x:v>
      </x:c>
      <x:c r="M221" s="369" t="n">
        <x:f>IF($A221="","",ABS(2*A221/(90-A221)-'02_Constants'!$D$16)/'02_Constants'!$D$16)</x:f>
        <x:v>0.001684198296289228</x:v>
      </x:c>
      <x:c r="N221" s="369" t="n">
        <x:f>IF($A221="","",ABS(2*A221/(90-A221)-1-'02_Constants'!$D$17)/'02_Constants'!$D$17)</x:f>
        <x:v>0.002664362474478563</x:v>
      </x:c>
      <x:c r="O221" s="369" t="n">
        <x:f>IF(A221="","",AVERAGE(C221:N221))</x:f>
        <x:v>0.0008830044565446438</x:v>
      </x:c>
      <x:c r="P221" s="369" t="n">
        <x:f>IF(A221="","",SUMPRODUCT(C221:N221,'03_12_Errors'!$P$4:$AA$4)/SUM('03_12_Errors'!$P$4:$AA$4))</x:f>
        <x:v>0.0009770545100271858</x:v>
      </x:c>
      <x:c r="Q221" s="369" t="n">
        <x:f>IF(A221="","",SQRT(SUMSQ(C221:N221)/12))</x:f>
        <x:v>0.0011365743450035299</x:v>
      </x:c>
      <x:c r="R221" s="369" t="n">
        <x:f>IF(A221="","",MAX(C221:N221))</x:f>
        <x:v>0.002664362474478563</x:v>
      </x:c>
      <x:c r="S221" s="390" t="n">
        <x:f>IF(A221="","",COUNTIF(C221:N221,"&lt;="&amp;'00_Start'!$B$7))</x:f>
        <x:v>8</x:v>
      </x:c>
      <x:c r="T221" s="365" t="n">
        <x:f>IF(A221="","",0.5*TAN(RADIANS(A221)))</x:f>
        <x:v>0.6373872093403243</x:v>
      </x:c>
      <x:c r="U221" s="365" t="n">
        <x:f>IF(A221="","",0.5)</x:f>
        <x:v>0.5</x:v>
      </x:c>
      <x:c r="V221" s="365" t="n">
        <x:f>IF(A221="","",SQRT(2))</x:f>
        <x:v>1.4142135623730951</x:v>
      </x:c>
      <x:c r="W221" s="365" t="n">
        <x:f>IF(A221="","",SQRT(T221^2+U221^2))</x:f>
        <x:v>0.8101002744294353</x:v>
      </x:c>
      <x:c r="X221" s="365" t="n">
        <x:f>IF(A221="","",SQRT(T221^2+2*U221^2))</x:f>
        <x:v>0.9519781797030047</x:v>
      </x:c>
      <x:c r="Y221" s="127"/>
      <x:c r="Z221" s="127"/>
      <x:c r="AA221" s="127"/>
      <x:c r="AB221" s="127"/>
      <x:c r="AC221" s="127"/>
      <x:c r="AD221" s="127"/>
      <x:c r="AE221" s="127"/>
      <x:c r="AF221" s="127"/>
      <x:c r="AG221" s="127"/>
      <x:c r="AH221" s="127"/>
      <x:c r="AI221" s="127"/>
      <x:c r="AJ221" s="127"/>
      <x:c r="AK221" s="127"/>
      <x:c r="AL221" s="127"/>
    </x:row>
    <x:row r="222">
      <x:c r="A222" s="367" t="n">
        <x:f>IF(A221="","",IF(A221+'00_Start'!$B$12&lt;='00_Start'!$B$11,A221+'00_Start'!$B$12,""))</x:f>
        <x:v>51.88800000000052</x:v>
      </x:c>
      <x:c r="B222" s="367" t="n">
        <x:f>IF(A222="","",2/TAN(RADIANS(A222)))</x:f>
        <x:v>1.5688768386377536</x:v>
      </x:c>
      <x:c r="C222" s="369" t="n">
        <x:f>IF($A222="","",ABS(2/T222-'02_Constants'!$D$6)/'02_Constants'!$D$6)</x:f>
        <x:v>0.0012219841136626032</x:v>
      </x:c>
      <x:c r="D222" s="369" t="n">
        <x:f>IF($A222="","",ABS(2/(T222+2*V222)-'02_Constants'!$D$7)/'02_Constants'!$D$7)</x:f>
        <x:v>0.000264398446220546</x:v>
      </x:c>
      <x:c r="E222" s="369" t="n">
        <x:f>IF($A222="","",ABS((T222+2*V222)/2-'02_Constants'!$D$8)/'02_Constants'!$D$8)</x:f>
        <x:v>0.0004977258776813605</x:v>
      </x:c>
      <x:c r="F222" s="369" t="n">
        <x:f>IF($A222="","",ABS((T222+2*V222)/V222-'02_Constants'!$D$9)/'02_Constants'!$D$9)</x:f>
        <x:v>0.0004977258776812424</x:v>
      </x:c>
      <x:c r="G222" s="369" t="n">
        <x:f>IF($A222="","",ABS(V222-'02_Constants'!$D$10)/'02_Constants'!$D$10)</x:f>
        <x:v>0</x:v>
      </x:c>
      <x:c r="H222" s="369" t="n">
        <x:f>IF($A222="","",ABS((W222+1)/W222-'02_Constants'!$D$11)/'02_Constants'!$D$11)</x:f>
        <x:v>0.0007453367842701753</x:v>
      </x:c>
      <x:c r="I222" s="369" t="n">
        <x:f>IF($A222="","",ABS((U222+2*V222)/(W222+1)-'02_Constants'!$D$12)/'02_Constants'!$D$12)</x:f>
        <x:v>0.00026519352075349327</x:v>
      </x:c>
      <x:c r="J222" s="369" t="n">
        <x:f>IF($A222="","",ABS(X222/U222-'02_Constants'!$D$13)/'02_Constants'!$D$13)</x:f>
        <x:v>0.0009521353250827645</x:v>
      </x:c>
      <x:c r="K222" s="369" t="n">
        <x:f>IF($A222="","",ABS(W222/(W222+U222)-'02_Constants'!$D$14)/'02_Constants'!$D$14)</x:f>
        <x:v>0.0005152804285741435</x:v>
      </x:c>
      <x:c r="L222" s="369" t="n">
        <x:f>IF($A222="","",ABS(W222/U222-'02_Constants'!$D$15)/'02_Constants'!$D$15)</x:f>
        <x:v>0.0013501473492798426</x:v>
      </x:c>
      <x:c r="M222" s="369" t="n">
        <x:f>IF($A222="","",ABS(2*A222/(90-A222)-'02_Constants'!$D$16)/'02_Constants'!$D$16)</x:f>
        <x:v>0.0017069922074018655</x:v>
      </x:c>
      <x:c r="N222" s="369" t="n">
        <x:f>IF($A222="","",ABS(2*A222/(90-A222)-1-'02_Constants'!$D$17)/'02_Constants'!$D$17)</x:f>
        <x:v>0.0027004219109172055</x:v>
      </x:c>
      <x:c r="O222" s="369" t="n">
        <x:f>IF(A222="","",AVERAGE(C222:N222))</x:f>
        <x:v>0.0008931118201271036</x:v>
      </x:c>
      <x:c r="P222" s="369" t="n">
        <x:f>IF(A222="","",SUMPRODUCT(C222:N222,'03_12_Errors'!$P$4:$AA$4)/SUM('03_12_Errors'!$P$4:$AA$4))</x:f>
        <x:v>0.0009888708233156947</x:v>
      </x:c>
      <x:c r="Q222" s="369" t="n">
        <x:f>IF(A222="","",SQRT(SUMSQ(C222:N222)/12))</x:f>
        <x:v>0.001150563003188458</x:v>
      </x:c>
      <x:c r="R222" s="369" t="n">
        <x:f>IF(A222="","",MAX(C222:N222))</x:f>
        <x:v>0.0027004219109172055</x:v>
      </x:c>
      <x:c r="S222" s="390" t="n">
        <x:f>IF(A222="","",COUNTIF(C222:N222,"&lt;="&amp;'00_Start'!$B$7))</x:f>
        <x:v>8</x:v>
      </x:c>
      <x:c r="T222" s="365" t="n">
        <x:f>IF(A222="","",0.5*TAN(RADIANS(A222)))</x:f>
        <x:v>0.6373986634083362</x:v>
      </x:c>
      <x:c r="U222" s="365" t="n">
        <x:f>IF(A222="","",0.5)</x:f>
        <x:v>0.5</x:v>
      </x:c>
      <x:c r="V222" s="365" t="n">
        <x:f>IF(A222="","",SQRT(2))</x:f>
        <x:v>1.4142135623730951</x:v>
      </x:c>
      <x:c r="W222" s="365" t="n">
        <x:f>IF(A222="","",SQRT(T222^2+U222^2))</x:f>
        <x:v>0.8101092865254251</x:v>
      </x:c>
      <x:c r="X222" s="365" t="n">
        <x:f>IF(A222="","",SQRT(T222^2+2*U222^2))</x:f>
        <x:v>0.9519858486945767</x:v>
      </x:c>
      <x:c r="Y222" s="127"/>
      <x:c r="Z222" s="127"/>
      <x:c r="AA222" s="127"/>
      <x:c r="AB222" s="127"/>
      <x:c r="AC222" s="127"/>
      <x:c r="AD222" s="127"/>
      <x:c r="AE222" s="127"/>
      <x:c r="AF222" s="127"/>
      <x:c r="AG222" s="127"/>
      <x:c r="AH222" s="127"/>
      <x:c r="AI222" s="127"/>
      <x:c r="AJ222" s="127"/>
      <x:c r="AK222" s="127"/>
      <x:c r="AL222" s="127"/>
    </x:row>
    <x:row r="223">
      <x:c r="A223" s="367" t="n">
        <x:f>IF(A222="","",IF(A222+'00_Start'!$B$12&lt;='00_Start'!$B$11,A222+'00_Start'!$B$12,""))</x:f>
        <x:v>51.88850000000052</x:v>
      </x:c>
      <x:c r="B223" s="367" t="n">
        <x:f>IF(A223="","",2/TAN(RADIANS(A223)))</x:f>
        <x:v>1.568848645765788</x:v>
      </x:c>
      <x:c r="C223" s="369" t="n">
        <x:f>IF($A223="","",ABS(2/T223-'02_Constants'!$D$6)/'02_Constants'!$D$6)</x:f>
        <x:v>0.001239932253395763</x:v>
      </x:c>
      <x:c r="D223" s="369" t="n">
        <x:f>IF($A223="","",ABS(2/(T223+2*V223)-'02_Constants'!$D$7)/'02_Constants'!$D$7)</x:f>
        <x:v>0.00026770249472450765</x:v>
      </x:c>
      <x:c r="E223" s="369" t="n">
        <x:f>IF($A223="","",ABS((T223+2*V223)/2-'02_Constants'!$D$8)/'02_Constants'!$D$8)</x:f>
        <x:v>0.0005010324558749149</x:v>
      </x:c>
      <x:c r="F223" s="369" t="n">
        <x:f>IF($A223="","",ABS((T223+2*V223)/V223-'02_Constants'!$D$9)/'02_Constants'!$D$9)</x:f>
        <x:v>0.0005010324558748566</x:v>
      </x:c>
      <x:c r="G223" s="369" t="n">
        <x:f>IF($A223="","",ABS(V223-'02_Constants'!$D$10)/'02_Constants'!$D$10)</x:f>
        <x:v>0</x:v>
      </x:c>
      <x:c r="H223" s="369" t="n">
        <x:f>IF($A223="","",ABS((W223+1)/W223-'02_Constants'!$D$11)/'02_Constants'!$D$11)</x:f>
        <x:v>0.000751478099495629</x:v>
      </x:c>
      <x:c r="I223" s="369" t="n">
        <x:f>IF($A223="","",ABS((U223+2*V223)/(W223+1)-'02_Constants'!$D$12)/'02_Constants'!$D$12)</x:f>
        <x:v>0.00027017107840072497</x:v>
      </x:c>
      <x:c r="J223" s="369" t="n">
        <x:f>IF($A223="","",ABS(X223/U223-'02_Constants'!$D$13)/'02_Constants'!$D$13)</x:f>
        <x:v>0.0009601990377968863</x:v>
      </x:c>
      <x:c r="K223" s="369" t="n">
        <x:f>IF($A223="","",ABS(W223/(W223+U223)-'02_Constants'!$D$14)/'02_Constants'!$D$14)</x:f>
        <x:v>0.0005195283654201832</x:v>
      </x:c>
      <x:c r="L223" s="369" t="n">
        <x:f>IF($A223="","",ABS(W223/U223-'02_Constants'!$D$15)/'02_Constants'!$D$15)</x:f>
        <x:v>0.0013612872366525518</x:v>
      </x:c>
      <x:c r="M223" s="369" t="n">
        <x:f>IF($A223="","",ABS(2*A223/(90-A223)-'02_Constants'!$D$16)/'02_Constants'!$D$16)</x:f>
        <x:v>0.0017297867165993162</x:v>
      </x:c>
      <x:c r="N223" s="369" t="n">
        <x:f>IF($A223="","",ABS(2*A223/(90-A223)-1-'02_Constants'!$D$17)/'02_Constants'!$D$17)</x:f>
        <x:v>0.002736482293512091</x:v>
      </x:c>
      <x:c r="O223" s="369" t="n">
        <x:f>IF(A223="","",AVERAGE(C223:N223))</x:f>
        <x:v>0.0009032193739789521</x:v>
      </x:c>
      <x:c r="P223" s="369" t="n">
        <x:f>IF(A223="","",SUMPRODUCT(C223:N223,'03_12_Errors'!$P$4:$AA$4)/SUM('03_12_Errors'!$P$4:$AA$4))</x:f>
        <x:v>0.0010006873184438823</x:v>
      </x:c>
      <x:c r="Q223" s="369" t="n">
        <x:f>IF(A223="","",SQRT(SUMSQ(C223:N223)/12))</x:f>
        <x:v>0.001164558846765684</x:v>
      </x:c>
      <x:c r="R223" s="369" t="n">
        <x:f>IF(A223="","",MAX(C223:N223))</x:f>
        <x:v>0.002736482293512091</x:v>
      </x:c>
      <x:c r="S223" s="390" t="n">
        <x:f>IF(A223="","",COUNTIF(C223:N223,"&lt;="&amp;'00_Start'!$B$7))</x:f>
        <x:v>8</x:v>
      </x:c>
      <x:c r="T223" s="365" t="n">
        <x:f>IF(A223="","",0.5*TAN(RADIANS(A223)))</x:f>
        <x:v>0.637410117731197</x:v>
      </x:c>
      <x:c r="U223" s="365" t="n">
        <x:f>IF(A223="","",0.5)</x:f>
        <x:v>0.5</x:v>
      </x:c>
      <x:c r="V223" s="365" t="n">
        <x:f>IF(A223="","",SQRT(2))</x:f>
        <x:v>1.4142135623730951</x:v>
      </x:c>
      <x:c r="W223" s="365" t="n">
        <x:f>IF(A223="","",SQRT(T223^2+U223^2))</x:f>
        <x:v>0.8101182988836251</x:v>
      </x:c>
      <x:c r="X223" s="365" t="n">
        <x:f>IF(A223="","",SQRT(T223^2+2*U223^2))</x:f>
        <x:v>0.9519935179328158</x:v>
      </x:c>
      <x:c r="Y223" s="127"/>
      <x:c r="Z223" s="127"/>
      <x:c r="AA223" s="127"/>
      <x:c r="AB223" s="127"/>
      <x:c r="AC223" s="127"/>
      <x:c r="AD223" s="127"/>
      <x:c r="AE223" s="127"/>
      <x:c r="AF223" s="127"/>
      <x:c r="AG223" s="127"/>
      <x:c r="AH223" s="127"/>
      <x:c r="AI223" s="127"/>
      <x:c r="AJ223" s="127"/>
      <x:c r="AK223" s="127"/>
      <x:c r="AL223" s="127"/>
    </x:row>
    <x:row r="224">
      <x:c r="A224" s="367" t="n">
        <x:f>IF(A223="","",IF(A223+'00_Start'!$B$12&lt;='00_Start'!$B$11,A223+'00_Start'!$B$12,""))</x:f>
        <x:v>51.88900000000052</x:v>
      </x:c>
      <x:c r="B224" s="367" t="n">
        <x:f>IF(A224="","",2/TAN(RADIANS(A224)))</x:f>
        <x:v>1.5688204532798031</x:v>
      </x:c>
      <x:c r="C224" s="369" t="n">
        <x:f>IF($A224="","",ABS(2/T224-'02_Constants'!$D$6)/'02_Constants'!$D$6)</x:f>
        <x:v>0.0012578801474059118</x:v>
      </x:c>
      <x:c r="D224" s="369" t="n">
        <x:f>IF($A224="","",ABS(2/(T224+2*V224)-'02_Constants'!$D$7)/'02_Constants'!$D$7)</x:f>
        <x:v>0.00027100659490360165</x:v>
      </x:c>
      <x:c r="E224" s="369" t="n">
        <x:f>IF($A224="","",ABS((T224+2*V224)/2-'02_Constants'!$D$8)/'02_Constants'!$D$8)</x:f>
        <x:v>0.000504339107639996</x:v>
      </x:c>
      <x:c r="F224" s="369" t="n">
        <x:f>IF($A224="","",ABS((T224+2*V224)/V224-'02_Constants'!$D$9)/'02_Constants'!$D$9)</x:f>
        <x:v>0.0005043391076400113</x:v>
      </x:c>
      <x:c r="G224" s="369" t="n">
        <x:f>IF($A224="","",ABS(V224-'02_Constants'!$D$10)/'02_Constants'!$D$10)</x:f>
        <x:v>0</x:v>
      </x:c>
      <x:c r="H224" s="369" t="n">
        <x:f>IF($A224="","",ABS((W224+1)/W224-'02_Constants'!$D$11)/'02_Constants'!$D$11)</x:f>
        <x:v>0.0007576194567607134</x:v>
      </x:c>
      <x:c r="I224" s="369" t="n">
        <x:f>IF($A224="","",ABS((U224+2*V224)/(W224+1)-'02_Constants'!$D$12)/'02_Constants'!$D$12)</x:f>
        <x:v>0.0002751487313056937</x:v>
      </x:c>
      <x:c r="J224" s="369" t="n">
        <x:f>IF($A224="","",ABS(X224/U224-'02_Constants'!$D$13)/'02_Constants'!$D$13)</x:f>
        <x:v>0.0009682630098762009</x:v>
      </x:c>
      <x:c r="K224" s="369" t="n">
        <x:f>IF($A224="","",ABS(W224/(W224+U224)-'02_Constants'!$D$14)/'02_Constants'!$D$14)</x:f>
        <x:v>0.0005237763674171016</x:v>
      </x:c>
      <x:c r="L224" s="369" t="n">
        <x:f>IF($A224="","",ABS(W224/U224-'02_Constants'!$D$15)/'02_Constants'!$D$15)</x:f>
        <x:v>0.001372427448147035</x:v>
      </x:c>
      <x:c r="M224" s="369" t="n">
        <x:f>IF($A224="","",ABS(2*A224/(90-A224)-'02_Constants'!$D$16)/'02_Constants'!$D$16)</x:f>
        <x:v>0.0017525818239051056</x:v>
      </x:c>
      <x:c r="N224" s="369" t="n">
        <x:f>IF($A224="","",ABS(2*A224/(90-A224)-1-'02_Constants'!$D$17)/'02_Constants'!$D$17)</x:f>
        <x:v>0.002772543622300437</x:v>
      </x:c>
      <x:c r="O224" s="369" t="n">
        <x:f>IF(A224="","",AVERAGE(C224:N224))</x:f>
        <x:v>0.0009133271181084841</x:v>
      </x:c>
      <x:c r="P224" s="369" t="n">
        <x:f>IF(A224="","",SUMPRODUCT(C224:N224,'03_12_Errors'!$P$4:$AA$4)/SUM('03_12_Errors'!$P$4:$AA$4))</x:f>
        <x:v>0.001012503995421122</x:v>
      </x:c>
      <x:c r="Q224" s="369" t="n">
        <x:f>IF(A224="","",SQRT(SUMSQ(C224:N224)/12))</x:f>
        <x:v>0.001178561630517572</x:v>
      </x:c>
      <x:c r="R224" s="369" t="n">
        <x:f>IF(A224="","",MAX(C224:N224))</x:f>
        <x:v>0.002772543622300437</x:v>
      </x:c>
      <x:c r="S224" s="390" t="n">
        <x:f>IF(A224="","",COUNTIF(C224:N224,"&lt;="&amp;'00_Start'!$B$7))</x:f>
        <x:v>8</x:v>
      </x:c>
      <x:c r="T224" s="365" t="n">
        <x:f>IF(A224="","",0.5*TAN(RADIANS(A224)))</x:f>
        <x:v>0.637421572308917</x:v>
      </x:c>
      <x:c r="U224" s="365" t="n">
        <x:f>IF(A224="","",0.5)</x:f>
        <x:v>0.5</x:v>
      </x:c>
      <x:c r="V224" s="365" t="n">
        <x:f>IF(A224="","",SQRT(2))</x:f>
        <x:v>1.4142135623730951</x:v>
      </x:c>
      <x:c r="W224" s="365" t="n">
        <x:f>IF(A224="","",SQRT(T224^2+U224^2))</x:f>
        <x:v>0.810127311504045</x:v>
      </x:c>
      <x:c r="X224" s="365" t="n">
        <x:f>IF(A224="","",SQRT(T224^2+2*U224^2))</x:f>
        <x:v>0.9520011874177321</x:v>
      </x:c>
      <x:c r="Y224" s="127"/>
      <x:c r="Z224" s="127"/>
      <x:c r="AA224" s="127"/>
      <x:c r="AB224" s="127"/>
      <x:c r="AC224" s="127"/>
      <x:c r="AD224" s="127"/>
      <x:c r="AE224" s="127"/>
      <x:c r="AF224" s="127"/>
      <x:c r="AG224" s="127"/>
      <x:c r="AH224" s="127"/>
      <x:c r="AI224" s="127"/>
      <x:c r="AJ224" s="127"/>
      <x:c r="AK224" s="127"/>
      <x:c r="AL224" s="127"/>
    </x:row>
    <x:row r="225">
      <x:c r="A225" s="367" t="n">
        <x:f>IF(A224="","",IF(A224+'00_Start'!$B$12&lt;='00_Start'!$B$11,A224+'00_Start'!$B$12,""))</x:f>
        <x:v>51.889500000000524</x:v>
      </x:c>
      <x:c r="B225" s="367" t="n">
        <x:f>IF(A225="","",2/TAN(RADIANS(A225)))</x:f>
        <x:v>1.5687922611797853</x:v>
      </x:c>
      <x:c r="C225" s="369" t="n">
        <x:f>IF($A225="","",ABS(2/T225-'02_Constants'!$D$6)/'02_Constants'!$D$6)</x:f>
        <x:v>0.001275827795701814</x:v>
      </x:c>
      <x:c r="D225" s="369" t="n">
        <x:f>IF($A225="","",ABS(2/(T225+2*V225)-'02_Constants'!$D$7)/'02_Constants'!$D$7)</x:f>
        <x:v>0.0002743107467601361</x:v>
      </x:c>
      <x:c r="E225" s="369" t="n">
        <x:f>IF($A225="","",ABS((T225+2*V225)/2-'02_Constants'!$D$8)/'02_Constants'!$D$8)</x:f>
        <x:v>0.0005076458329796807</x:v>
      </x:c>
      <x:c r="F225" s="369" t="n">
        <x:f>IF($A225="","",ABS((T225+2*V225)/V225-'02_Constants'!$D$9)/'02_Constants'!$D$9)</x:f>
        <x:v>0.0005076458329796071</x:v>
      </x:c>
      <x:c r="G225" s="369" t="n">
        <x:f>IF($A225="","",ABS(V225-'02_Constants'!$D$10)/'02_Constants'!$D$10)</x:f>
        <x:v>0</x:v>
      </x:c>
      <x:c r="H225" s="369" t="n">
        <x:f>IF($A225="","",ABS((W225+1)/W225-'02_Constants'!$D$11)/'02_Constants'!$D$11)</x:f>
        <x:v>0.0007637608560654283</x:v>
      </x:c>
      <x:c r="I225" s="369" t="n">
        <x:f>IF($A225="","",ABS((U225+2*V225)/(W225+1)-'02_Constants'!$D$12)/'02_Constants'!$D$12)</x:f>
        <x:v>0.0002801264794706931</x:v>
      </x:c>
      <x:c r="J225" s="369" t="n">
        <x:f>IF($A225="","",ABS(X225/U225-'02_Constants'!$D$13)/'02_Constants'!$D$13)</x:f>
        <x:v>0.000976327241331798</x:v>
      </x:c>
      <x:c r="K225" s="369" t="n">
        <x:f>IF($A225="","",ABS(W225/(W225+U225)-'02_Constants'!$D$14)/'02_Constants'!$D$14)</x:f>
        <x:v>0.0005280244345654382</x:v>
      </x:c>
      <x:c r="L225" s="369" t="n">
        <x:f>IF($A225="","",ABS(W225/U225-'02_Constants'!$D$15)/'02_Constants'!$D$15)</x:f>
        <x:v>0.0013835679837760548</x:v>
      </x:c>
      <x:c r="M225" s="369" t="n">
        <x:f>IF($A225="","",ABS(2*A225/(90-A225)-'02_Constants'!$D$16)/'02_Constants'!$D$16)</x:f>
        <x:v>0.0017753775293429227</x:v>
      </x:c>
      <x:c r="N225" s="369" t="n">
        <x:f>IF($A225="","",ABS(2*A225/(90-A225)-1-'02_Constants'!$D$17)/'02_Constants'!$D$17)</x:f>
        <x:v>0.0028086058973197177</x:v>
      </x:c>
      <x:c r="O225" s="369" t="n">
        <x:f>IF(A225="","",AVERAGE(C225:N225))</x:f>
        <x:v>0.0009234350525244408</x:v>
      </x:c>
      <x:c r="P225" s="369" t="n">
        <x:f>IF(A225="","",SUMPRODUCT(C225:N225,'03_12_Errors'!$P$4:$AA$4)/SUM('03_12_Errors'!$P$4:$AA$4))</x:f>
        <x:v>0.0010243208542574012</x:v>
      </x:c>
      <x:c r="Q225" s="369" t="n">
        <x:f>IF(A225="","",SQRT(SUMSQ(C225:N225)/12))</x:f>
        <x:v>0.001192571120620793</x:v>
      </x:c>
      <x:c r="R225" s="369" t="n">
        <x:f>IF(A225="","",MAX(C225:N225))</x:f>
        <x:v>0.0028086058973197177</x:v>
      </x:c>
      <x:c r="S225" s="390" t="n">
        <x:f>IF(A225="","",COUNTIF(C225:N225,"&lt;="&amp;'00_Start'!$B$7))</x:f>
        <x:v>8</x:v>
      </x:c>
      <x:c r="T225" s="365" t="n">
        <x:f>IF(A225="","",0.5*TAN(RADIANS(A225)))</x:f>
        <x:v>0.6374330271415068</x:v>
      </x:c>
      <x:c r="U225" s="365" t="n">
        <x:f>IF(A225="","",0.5)</x:f>
        <x:v>0.5</x:v>
      </x:c>
      <x:c r="V225" s="365" t="n">
        <x:f>IF(A225="","",SQRT(2))</x:f>
        <x:v>1.4142135623730951</x:v>
      </x:c>
      <x:c r="W225" s="365" t="n">
        <x:f>IF(A225="","",SQRT(T225^2+U225^2))</x:f>
        <x:v>0.8101363243866954</x:v>
      </x:c>
      <x:c r="X225" s="365" t="n">
        <x:f>IF(A225="","",SQRT(T225^2+2*U225^2))</x:f>
        <x:v>0.952008857149336</x:v>
      </x:c>
      <x:c r="Y225" s="127"/>
      <x:c r="Z225" s="127"/>
      <x:c r="AA225" s="127"/>
      <x:c r="AB225" s="127"/>
      <x:c r="AC225" s="127"/>
      <x:c r="AD225" s="127"/>
      <x:c r="AE225" s="127"/>
      <x:c r="AF225" s="127"/>
      <x:c r="AG225" s="127"/>
      <x:c r="AH225" s="127"/>
      <x:c r="AI225" s="127"/>
      <x:c r="AJ225" s="127"/>
      <x:c r="AK225" s="127"/>
      <x:c r="AL225" s="127"/>
    </x:row>
    <x:row r="226">
      <x:c r="A226" s="367" t="n">
        <x:f>IF(A225="","",IF(A225+'00_Start'!$B$12&lt;='00_Start'!$B$11,A225+'00_Start'!$B$12,""))</x:f>
        <x:v>51.890000000000526</x:v>
      </x:c>
      <x:c r="B226" s="367" t="n">
        <x:f>IF(A226="","",2/TAN(RADIANS(A226)))</x:f>
        <x:v>1.5687640694657232</x:v>
      </x:c>
      <x:c r="C226" s="369" t="n">
        <x:f>IF($A226="","",ABS(2/T226-'02_Constants'!$D$6)/'02_Constants'!$D$6)</x:f>
        <x:v>0.0012937751982906786</x:v>
      </x:c>
      <x:c r="D226" s="369" t="n">
        <x:f>IF($A226="","",ABS(2/(T226+2*V226)-'02_Constants'!$D$7)/'02_Constants'!$D$7)</x:f>
        <x:v>0.000277614950295265</x:v>
      </x:c>
      <x:c r="E226" s="369" t="n">
        <x:f>IF($A226="","",ABS((T226+2*V226)/2-'02_Constants'!$D$8)/'02_Constants'!$D$8)</x:f>
        <x:v>0.0005109526318967894</x:v>
      </x:c>
      <x:c r="F226" s="369" t="n">
        <x:f>IF($A226="","",ABS((T226+2*V226)/V226-'02_Constants'!$D$9)/'02_Constants'!$D$9)</x:f>
        <x:v>0.0005109526318967261</x:v>
      </x:c>
      <x:c r="G226" s="369" t="n">
        <x:f>IF($A226="","",ABS(V226-'02_Constants'!$D$10)/'02_Constants'!$D$10)</x:f>
        <x:v>0</x:v>
      </x:c>
      <x:c r="H226" s="369" t="n">
        <x:f>IF($A226="","",ABS((W226+1)/W226-'02_Constants'!$D$11)/'02_Constants'!$D$11)</x:f>
        <x:v>0.0007699022974089794</x:v>
      </x:c>
      <x:c r="I226" s="369" t="n">
        <x:f>IF($A226="","",ABS((U226+2*V226)/(W226+1)-'02_Constants'!$D$12)/'02_Constants'!$D$12)</x:f>
        <x:v>0.00028510432289765474</x:v>
      </x:c>
      <x:c r="J226" s="369" t="n">
        <x:f>IF($A226="","",ABS(X226/U226-'02_Constants'!$D$13)/'02_Constants'!$D$13)</x:f>
        <x:v>0.0009843917321740666</x:v>
      </x:c>
      <x:c r="K226" s="369" t="n">
        <x:f>IF($A226="","",ABS(W226/(W226+U226)-'02_Constants'!$D$14)/'02_Constants'!$D$14)</x:f>
        <x:v>0.00053227256686645</x:v>
      </x:c>
      <x:c r="L226" s="369" t="n">
        <x:f>IF($A226="","",ABS(W226/U226-'02_Constants'!$D$15)/'02_Constants'!$D$15)</x:f>
        <x:v>0.0013947088435522365</x:v>
      </x:c>
      <x:c r="M226" s="369" t="n">
        <x:f>IF($A226="","",ABS(2*A226/(90-A226)-'02_Constants'!$D$16)/'02_Constants'!$D$16)</x:f>
        <x:v>0.0017981738329362926</x:v>
      </x:c>
      <x:c r="N226" s="369" t="n">
        <x:f>IF($A226="","",ABS(2*A226/(90-A226)-1-'02_Constants'!$D$17)/'02_Constants'!$D$17)</x:f>
        <x:v>0.0028446691186071508</x:v>
      </x:c>
      <x:c r="O226" s="369" t="n">
        <x:f>IF(A226="","",AVERAGE(C226:N226))</x:f>
        <x:v>0.0009335431772351908</x:v>
      </x:c>
      <x:c r="P226" s="369" t="n">
        <x:f>IF(A226="","",SUMPRODUCT(C226:N226,'03_12_Errors'!$P$4:$AA$4)/SUM('03_12_Errors'!$P$4:$AA$4))</x:f>
        <x:v>0.0010361378949621564</x:v>
      </x:c>
      <x:c r="Q226" s="369" t="n">
        <x:f>IF(A226="","",SQRT(SUMSQ(C226:N226)/12))</x:f>
        <x:v>0.001206587093997728</x:v>
      </x:c>
      <x:c r="R226" s="369" t="n">
        <x:f>IF(A226="","",MAX(C226:N226))</x:f>
        <x:v>0.0028446691186071508</x:v>
      </x:c>
      <x:c r="S226" s="390" t="n">
        <x:f>IF(A226="","",COUNTIF(C226:N226,"&lt;="&amp;'00_Start'!$B$7))</x:f>
        <x:v>8</x:v>
      </x:c>
      <x:c r="T226" s="365" t="n">
        <x:f>IF(A226="","",0.5*TAN(RADIANS(A226)))</x:f>
        <x:v>0.6374444822289764</x:v>
      </x:c>
      <x:c r="U226" s="365" t="n">
        <x:f>IF(A226="","",0.5)</x:f>
        <x:v>0.5</x:v>
      </x:c>
      <x:c r="V226" s="365" t="n">
        <x:f>IF(A226="","",SQRT(2))</x:f>
        <x:v>1.4142135623730951</x:v>
      </x:c>
      <x:c r="W226" s="365" t="n">
        <x:f>IF(A226="","",SQRT(T226^2+U226^2))</x:f>
        <x:v>0.8101453375315862</x:v>
      </x:c>
      <x:c r="X226" s="365" t="n">
        <x:f>IF(A226="","",SQRT(T226^2+2*U226^2))</x:f>
        <x:v>0.9520165271276375</x:v>
      </x:c>
      <x:c r="Y226" s="127"/>
      <x:c r="Z226" s="127"/>
      <x:c r="AA226" s="127"/>
      <x:c r="AB226" s="127"/>
      <x:c r="AC226" s="127"/>
      <x:c r="AD226" s="127"/>
      <x:c r="AE226" s="127"/>
      <x:c r="AF226" s="127"/>
      <x:c r="AG226" s="127"/>
      <x:c r="AH226" s="127"/>
      <x:c r="AI226" s="127"/>
      <x:c r="AJ226" s="127"/>
      <x:c r="AK226" s="127"/>
      <x:c r="AL226" s="127"/>
    </x:row>
    <x:row r="227">
      <x:c r="A227" s="367" t="n">
        <x:f>IF(A226="","",IF(A226+'00_Start'!$B$12&lt;='00_Start'!$B$11,A226+'00_Start'!$B$12,""))</x:f>
        <x:v>51.89050000000053</x:v>
      </x:c>
      <x:c r="B227" s="367" t="n">
        <x:f>IF(A227="","",2/TAN(RADIANS(A227)))</x:f>
        <x:v>1.5687358781376046</x:v>
      </x:c>
      <x:c r="C227" s="369" t="n">
        <x:f>IF($A227="","",ABS(2/T227-'02_Constants'!$D$6)/'02_Constants'!$D$6)</x:f>
        <x:v>0.0013117223551802808</x:v>
      </x:c>
      <x:c r="D227" s="369" t="n">
        <x:f>IF($A227="","",ABS(2/(T227+2*V227)-'02_Constants'!$D$7)/'02_Constants'!$D$7)</x:f>
        <x:v>0.00028091920551071936</x:v>
      </x:c>
      <x:c r="E227" s="369" t="n">
        <x:f>IF($A227="","",ABS((T227+2*V227)/2-'02_Constants'!$D$8)/'02_Constants'!$D$8)</x:f>
        <x:v>0.0005142595043942704</x:v>
      </x:c>
      <x:c r="F227" s="369" t="n">
        <x:f>IF($A227="","",ABS((T227+2*V227)/V227-'02_Constants'!$D$9)/'02_Constants'!$D$9)</x:f>
        <x:v>0.0005142595043942693</x:v>
      </x:c>
      <x:c r="G227" s="369" t="n">
        <x:f>IF($A227="","",ABS(V227-'02_Constants'!$D$10)/'02_Constants'!$D$10)</x:f>
        <x:v>0</x:v>
      </x:c>
      <x:c r="H227" s="369" t="n">
        <x:f>IF($A227="","",ABS((W227+1)/W227-'02_Constants'!$D$11)/'02_Constants'!$D$11)</x:f>
        <x:v>0.0007760437807907709</x:v>
      </x:c>
      <x:c r="I227" s="369" t="n">
        <x:f>IF($A227="","",ABS((U227+2*V227)/(W227+1)-'02_Constants'!$D$12)/'02_Constants'!$D$12)</x:f>
        <x:v>0.00029008226158863096</x:v>
      </x:c>
      <x:c r="J227" s="369" t="n">
        <x:f>IF($A227="","",ABS(X227/U227-'02_Constants'!$D$13)/'02_Constants'!$D$13)</x:f>
        <x:v>0.0009924564824136295</x:v>
      </x:c>
      <x:c r="K227" s="369" t="n">
        <x:f>IF($A227="","",ABS(W227/(W227+U227)-'02_Constants'!$D$14)/'02_Constants'!$D$14)</x:f>
        <x:v>0.0005365207643208559</x:v>
      </x:c>
      <x:c r="L227" s="369" t="n">
        <x:f>IF($A227="","",ABS(W227/U227-'02_Constants'!$D$15)/'02_Constants'!$D$15)</x:f>
        <x:v>0.0014058500274879307</x:v>
      </x:c>
      <x:c r="M227" s="369" t="n">
        <x:f>IF($A227="","",ABS(2*A227/(90-A227)-'02_Constants'!$D$16)/'02_Constants'!$D$16)</x:f>
        <x:v>0.0018209707347085777</x:v>
      </x:c>
      <x:c r="N227" s="369" t="n">
        <x:f>IF($A227="","",ABS(2*A227/(90-A227)-1-'02_Constants'!$D$17)/'02_Constants'!$D$17)</x:f>
        <x:v>0.0028807332861996936</x:v>
      </x:c>
      <x:c r="O227" s="369" t="n">
        <x:f>IF(A227="","",AVERAGE(C227:N227))</x:f>
        <x:v>0.0009436514922491359</x:v>
      </x:c>
      <x:c r="P227" s="369" t="n">
        <x:f>IF(A227="","",SUMPRODUCT(C227:N227,'03_12_Errors'!$P$4:$AA$4)/SUM('03_12_Errors'!$P$4:$AA$4))</x:f>
        <x:v>0.0010479551175449362</x:v>
      </x:c>
      <x:c r="Q227" s="369" t="n">
        <x:f>IF(A227="","",SQRT(SUMSQ(C227:N227)/12))</x:f>
        <x:v>0.0012206093377121333</x:v>
      </x:c>
      <x:c r="R227" s="369" t="n">
        <x:f>IF(A227="","",MAX(C227:N227))</x:f>
        <x:v>0.0028807332861996936</x:v>
      </x:c>
      <x:c r="S227" s="390" t="n">
        <x:f>IF(A227="","",COUNTIF(C227:N227,"&lt;="&amp;'00_Start'!$B$7))</x:f>
        <x:v>8</x:v>
      </x:c>
      <x:c r="T227" s="365" t="n">
        <x:f>IF(A227="","",0.5*TAN(RADIANS(A227)))</x:f>
        <x:v>0.6374559375713361</x:v>
      </x:c>
      <x:c r="U227" s="365" t="n">
        <x:f>IF(A227="","",0.5)</x:f>
        <x:v>0.5</x:v>
      </x:c>
      <x:c r="V227" s="365" t="n">
        <x:f>IF(A227="","",SQRT(2))</x:f>
        <x:v>1.4142135623730951</x:v>
      </x:c>
      <x:c r="W227" s="365" t="n">
        <x:f>IF(A227="","",SQRT(T227^2+U227^2))</x:f>
        <x:v>0.8101543509387277</x:v>
      </x:c>
      <x:c r="X227" s="365" t="n">
        <x:f>IF(A227="","",SQRT(T227^2+2*U227^2))</x:f>
        <x:v>0.9520241973526467</x:v>
      </x:c>
      <x:c r="Y227" s="127"/>
      <x:c r="Z227" s="127"/>
      <x:c r="AA227" s="127"/>
      <x:c r="AB227" s="127"/>
      <x:c r="AC227" s="127"/>
      <x:c r="AD227" s="127"/>
      <x:c r="AE227" s="127"/>
      <x:c r="AF227" s="127"/>
      <x:c r="AG227" s="127"/>
      <x:c r="AH227" s="127"/>
      <x:c r="AI227" s="127"/>
      <x:c r="AJ227" s="127"/>
      <x:c r="AK227" s="127"/>
      <x:c r="AL227" s="127"/>
    </x:row>
    <x:row r="228">
      <x:c r="A228" s="367" t="n">
        <x:f>IF(A227="","",IF(A227+'00_Start'!$B$12&lt;='00_Start'!$B$11,A227+'00_Start'!$B$12,""))</x:f>
        <x:v>51.89100000000053</x:v>
      </x:c>
      <x:c r="B228" s="367" t="n">
        <x:f>IF(A228="","",2/TAN(RADIANS(A228)))</x:f>
        <x:v>1.5687076871954166</x:v>
      </x:c>
      <x:c r="C228" s="369" t="n">
        <x:f>IF($A228="","",ABS(2/T228-'02_Constants'!$D$6)/'02_Constants'!$D$6)</x:f>
        <x:v>0.0013296692663788189</x:v>
      </x:c>
      <x:c r="D228" s="369" t="n">
        <x:f>IF($A228="","",ABS(2/(T228+2*V228)-'02_Constants'!$D$7)/'02_Constants'!$D$7)</x:f>
        <x:v>0.0002842235124086151</x:v>
      </x:c>
      <x:c r="E228" s="369" t="n">
        <x:f>IF($A228="","",ABS((T228+2*V228)/2-'02_Constants'!$D$8)/'02_Constants'!$D$8)</x:f>
        <x:v>0.0005175664504752006</x:v>
      </x:c>
      <x:c r="F228" s="369" t="n">
        <x:f>IF($A228="","",ABS((T228+2*V228)/V228-'02_Constants'!$D$9)/'02_Constants'!$D$9)</x:f>
        <x:v>0.0005175664504751372</x:v>
      </x:c>
      <x:c r="G228" s="369" t="n">
        <x:f>IF($A228="","",ABS(V228-'02_Constants'!$D$10)/'02_Constants'!$D$10)</x:f>
        <x:v>0</x:v>
      </x:c>
      <x:c r="H228" s="369" t="n">
        <x:f>IF($A228="","",ABS((W228+1)/W228-'02_Constants'!$D$11)/'02_Constants'!$D$11)</x:f>
        <x:v>0.0007821853062108026</x:v>
      </x:c>
      <x:c r="I228" s="369" t="n">
        <x:f>IF($A228="","",ABS((U228+2*V228)/(W228+1)-'02_Constants'!$D$12)/'02_Constants'!$D$12)</x:f>
        <x:v>0.000295060295545674</x:v>
      </x:c>
      <x:c r="J228" s="369" t="n">
        <x:f>IF($A228="","",ABS(X228/U228-'02_Constants'!$D$13)/'02_Constants'!$D$13)</x:f>
        <x:v>0.0010005214920612263</x:v>
      </x:c>
      <x:c r="K228" s="369" t="n">
        <x:f>IF($A228="","",ABS(W228/(W228+U228)-'02_Constants'!$D$14)/'02_Constants'!$D$14)</x:f>
        <x:v>0.0005407690269293743</x:v>
      </x:c>
      <x:c r="L228" s="369" t="n">
        <x:f>IF($A228="","",ABS(W228/U228-'02_Constants'!$D$15)/'02_Constants'!$D$15)</x:f>
        <x:v>0.0014169915355959001</x:v>
      </x:c>
      <x:c r="M228" s="369" t="n">
        <x:f>IF($A228="","",ABS(2*A228/(90-A228)-'02_Constants'!$D$16)/'02_Constants'!$D$16)</x:f>
        <x:v>0.0018437682346834669</x:v>
      </x:c>
      <x:c r="N228" s="369" t="n">
        <x:f>IF($A228="","",ABS(2*A228/(90-A228)-1-'02_Constants'!$D$17)/'02_Constants'!$D$17)</x:f>
        <x:v>0.0029167984001348224</x:v>
      </x:c>
      <x:c r="O228" s="369" t="n">
        <x:f>IF(A228="","",AVERAGE(C228:N228))</x:f>
        <x:v>0.00095375999757492</x:v>
      </x:c>
      <x:c r="P228" s="369" t="n">
        <x:f>IF(A228="","",SUMPRODUCT(C228:N228,'03_12_Errors'!$P$4:$AA$4)/SUM('03_12_Errors'!$P$4:$AA$4))</x:f>
        <x:v>0.0010597725220155346</x:v>
      </x:c>
      <x:c r="Q228" s="369" t="n">
        <x:f>IF(A228="","",SQRT(SUMSQ(C228:N228)/12))</x:f>
        <x:v>0.0012346376484048075</x:v>
      </x:c>
      <x:c r="R228" s="369" t="n">
        <x:f>IF(A228="","",MAX(C228:N228))</x:f>
        <x:v>0.0029167984001348224</x:v>
      </x:c>
      <x:c r="S228" s="390" t="n">
        <x:f>IF(A228="","",COUNTIF(C228:N228,"&lt;="&amp;'00_Start'!$B$7))</x:f>
        <x:v>7</x:v>
      </x:c>
      <x:c r="T228" s="365" t="n">
        <x:f>IF(A228="","",0.5*TAN(RADIANS(A228)))</x:f>
        <x:v>0.6374673931685962</x:v>
      </x:c>
      <x:c r="U228" s="365" t="n">
        <x:f>IF(A228="","",0.5)</x:f>
        <x:v>0.5</x:v>
      </x:c>
      <x:c r="V228" s="365" t="n">
        <x:f>IF(A228="","",SQRT(2))</x:f>
        <x:v>1.4142135623730951</x:v>
      </x:c>
      <x:c r="W228" s="365" t="n">
        <x:f>IF(A228="","",SQRT(T228^2+U228^2))</x:f>
        <x:v>0.81016336460813</x:v>
      </x:c>
      <x:c r="X228" s="365" t="n">
        <x:f>IF(A228="","",SQRT(T228^2+2*U228^2))</x:f>
        <x:v>0.9520318678243737</x:v>
      </x:c>
      <x:c r="Y228" s="127"/>
      <x:c r="Z228" s="127"/>
      <x:c r="AA228" s="127"/>
      <x:c r="AB228" s="127"/>
      <x:c r="AC228" s="127"/>
      <x:c r="AD228" s="127"/>
      <x:c r="AE228" s="127"/>
      <x:c r="AF228" s="127"/>
      <x:c r="AG228" s="127"/>
      <x:c r="AH228" s="127"/>
      <x:c r="AI228" s="127"/>
      <x:c r="AJ228" s="127"/>
      <x:c r="AK228" s="127"/>
      <x:c r="AL228" s="127"/>
    </x:row>
    <x:row r="229">
      <x:c r="A229" s="367" t="n">
        <x:f>IF(A228="","",IF(A228+'00_Start'!$B$12&lt;='00_Start'!$B$11,A228+'00_Start'!$B$12,""))</x:f>
        <x:v>51.89150000000053</x:v>
      </x:c>
      <x:c r="B229" s="367" t="n">
        <x:f>IF(A229="","",2/TAN(RADIANS(A229)))</x:f>
        <x:v>1.568679496639148</x:v>
      </x:c>
      <x:c r="C229" s="369" t="n">
        <x:f>IF($A229="","",ABS(2/T229-'02_Constants'!$D$6)/'02_Constants'!$D$6)</x:f>
        <x:v>0.0013476159318935022</x:v>
      </x:c>
      <x:c r="D229" s="369" t="n">
        <x:f>IF($A229="","",ABS(2/(T229+2*V229)-'02_Constants'!$D$7)/'02_Constants'!$D$7)</x:f>
        <x:v>0.00028752787099049087</x:v>
      </x:c>
      <x:c r="E229" s="369" t="n">
        <x:f>IF($A229="","",ABS((T229+2*V229)/2-'02_Constants'!$D$8)/'02_Constants'!$D$8)</x:f>
        <x:v>0.0005208734701424003</x:v>
      </x:c>
      <x:c r="F229" s="369" t="n">
        <x:f>IF($A229="","",ABS((T229+2*V229)/V229-'02_Constants'!$D$9)/'02_Constants'!$D$9)</x:f>
        <x:v>0.0005208734701424121</x:v>
      </x:c>
      <x:c r="G229" s="369" t="n">
        <x:f>IF($A229="","",ABS(V229-'02_Constants'!$D$10)/'02_Constants'!$D$10)</x:f>
        <x:v>0</x:v>
      </x:c>
      <x:c r="H229" s="369" t="n">
        <x:f>IF($A229="","",ABS((W229+1)/W229-'02_Constants'!$D$11)/'02_Constants'!$D$11)</x:f>
        <x:v>0.0007883268736684789</x:v>
      </x:c>
      <x:c r="I229" s="369" t="n">
        <x:f>IF($A229="","",ABS((U229+2*V229)/(W229+1)-'02_Constants'!$D$12)/'02_Constants'!$D$12)</x:f>
        <x:v>0.0003000384247704741</x:v>
      </x:c>
      <x:c r="J229" s="369" t="n">
        <x:f>IF($A229="","",ABS(X229/U229-'02_Constants'!$D$13)/'02_Constants'!$D$13)</x:f>
        <x:v>0.001008586761127246</x:v>
      </x:c>
      <x:c r="K229" s="369" t="n">
        <x:f>IF($A229="","",ABS(W229/(W229+U229)-'02_Constants'!$D$14)/'02_Constants'!$D$14)</x:f>
        <x:v>0.0005450173546932627</x:v>
      </x:c>
      <x:c r="L229" s="369" t="n">
        <x:f>IF($A229="","",ABS(W229/U229-'02_Constants'!$D$15)/'02_Constants'!$D$15)</x:f>
        <x:v>0.001428133367888221</x:v>
      </x:c>
      <x:c r="M229" s="369" t="n">
        <x:f>IF($A229="","",ABS(2*A229/(90-A229)-'02_Constants'!$D$16)/'02_Constants'!$D$16)</x:f>
        <x:v>0.0018665663328844852</x:v>
      </x:c>
      <x:c r="N229" s="369" t="n">
        <x:f>IF($A229="","",ABS(2*A229/(90-A229)-1-'02_Constants'!$D$17)/'02_Constants'!$D$17)</x:f>
        <x:v>0.002952864460449753</x:v>
      </x:c>
      <x:c r="O229" s="369" t="n">
        <x:f>IF(A229="","",AVERAGE(C229:N229))</x:f>
        <x:v>0.0009638686932208939</x:v>
      </x:c>
      <x:c r="P229" s="369" t="n">
        <x:f>IF(A229="","",SUMPRODUCT(C229:N229,'03_12_Errors'!$P$4:$AA$4)/SUM('03_12_Errors'!$P$4:$AA$4))</x:f>
        <x:v>0.0010715901083833497</x:v>
      </x:c>
      <x:c r="Q229" s="369" t="n">
        <x:f>IF(A229="","",SQRT(SUMSQ(C229:N229)/12))</x:f>
        <x:v>0.001248671831765368</x:v>
      </x:c>
      <x:c r="R229" s="369" t="n">
        <x:f>IF(A229="","",MAX(C229:N229))</x:f>
        <x:v>0.002952864460449753</x:v>
      </x:c>
      <x:c r="S229" s="390" t="n">
        <x:f>IF(A229="","",COUNTIF(C229:N229,"&lt;="&amp;'00_Start'!$B$7))</x:f>
        <x:v>7</x:v>
      </x:c>
      <x:c r="T229" s="365" t="n">
        <x:f>IF(A229="","",0.5*TAN(RADIANS(A229)))</x:f>
        <x:v>0.6374788490207669</x:v>
      </x:c>
      <x:c r="U229" s="365" t="n">
        <x:f>IF(A229="","",0.5)</x:f>
        <x:v>0.5</x:v>
      </x:c>
      <x:c r="V229" s="365" t="n">
        <x:f>IF(A229="","",SQRT(2))</x:f>
        <x:v>1.4142135623730951</x:v>
      </x:c>
      <x:c r="W229" s="365" t="n">
        <x:f>IF(A229="","",SQRT(T229^2+U229^2))</x:f>
        <x:v>0.810172378539803</x:v>
      </x:c>
      <x:c r="X229" s="365" t="n">
        <x:f>IF(A229="","",SQRT(T229^2+2*U229^2))</x:f>
        <x:v>0.9520395385428284</x:v>
      </x:c>
      <x:c r="Y229" s="127"/>
      <x:c r="Z229" s="127"/>
      <x:c r="AA229" s="127"/>
      <x:c r="AB229" s="127"/>
      <x:c r="AC229" s="127"/>
      <x:c r="AD229" s="127"/>
      <x:c r="AE229" s="127"/>
      <x:c r="AF229" s="127"/>
      <x:c r="AG229" s="127"/>
      <x:c r="AH229" s="127"/>
      <x:c r="AI229" s="127"/>
      <x:c r="AJ229" s="127"/>
      <x:c r="AK229" s="127"/>
      <x:c r="AL229" s="127"/>
    </x:row>
    <x:row r="230">
      <x:c r="A230" s="367" t="n">
        <x:f>IF(A229="","",IF(A229+'00_Start'!$B$12&lt;='00_Start'!$B$11,A229+'00_Start'!$B$12,""))</x:f>
        <x:v>51.892000000000536</x:v>
      </x:c>
      <x:c r="B230" s="367" t="n">
        <x:f>IF(A230="","",2/TAN(RADIANS(A230)))</x:f>
        <x:v>1.5686513064687857</x:v>
      </x:c>
      <x:c r="C230" s="369" t="n">
        <x:f>IF($A230="","",ABS(2/T230-'02_Constants'!$D$6)/'02_Constants'!$D$6)</x:f>
        <x:v>0.0013655623517325297</x:v>
      </x:c>
      <x:c r="D230" s="369" t="n">
        <x:f>IF($A230="","",ABS(2/(T230+2*V230)-'02_Constants'!$D$7)/'02_Constants'!$D$7)</x:f>
        <x:v>0.00029083228125788535</x:v>
      </x:c>
      <x:c r="E230" s="369" t="n">
        <x:f>IF($A230="","",ABS((T230+2*V230)/2-'02_Constants'!$D$8)/'02_Constants'!$D$8)</x:f>
        <x:v>0.0005241805633989463</x:v>
      </x:c>
      <x:c r="F230" s="369" t="n">
        <x:f>IF($A230="","",ABS((T230+2*V230)/V230-'02_Constants'!$D$9)/'02_Constants'!$D$9)</x:f>
        <x:v>0.0005241805633989947</x:v>
      </x:c>
      <x:c r="G230" s="369" t="n">
        <x:f>IF($A230="","",ABS(V230-'02_Constants'!$D$10)/'02_Constants'!$D$10)</x:f>
        <x:v>0</x:v>
      </x:c>
      <x:c r="H230" s="369" t="n">
        <x:f>IF($A230="","",ABS((W230+1)/W230-'02_Constants'!$D$11)/'02_Constants'!$D$11)</x:f>
        <x:v>0.0007944684831630054</x:v>
      </x:c>
      <x:c r="I230" s="369" t="n">
        <x:f>IF($A230="","",ABS((U230+2*V230)/(W230+1)-'02_Constants'!$D$12)/'02_Constants'!$D$12)</x:f>
        <x:v>0.00030501664926532485</x:v>
      </x:c>
      <x:c r="J230" s="369" t="n">
        <x:f>IF($A230="","",ABS(X230/U230-'02_Constants'!$D$13)/'02_Constants'!$D$13)</x:f>
        <x:v>0.0010166522896225447</x:v>
      </x:c>
      <x:c r="K230" s="369" t="n">
        <x:f>IF($A230="","",ABS(W230/(W230+U230)-'02_Constants'!$D$14)/'02_Constants'!$D$14)</x:f>
        <x:v>0.0005492657476130598</x:v>
      </x:c>
      <x:c r="L230" s="369" t="n">
        <x:f>IF($A230="","",ABS(W230/U230-'02_Constants'!$D$15)/'02_Constants'!$D$15)</x:f>
        <x:v>0.001439275524377656</x:v>
      </x:c>
      <x:c r="M230" s="369" t="n">
        <x:f>IF($A230="","",ABS(2*A230/(90-A230)-'02_Constants'!$D$16)/'02_Constants'!$D$16)</x:f>
        <x:v>0.0018893650293351585</x:v>
      </x:c>
      <x:c r="N230" s="369" t="n">
        <x:f>IF($A230="","",ABS(2*A230/(90-A230)-1-'02_Constants'!$D$17)/'02_Constants'!$D$17)</x:f>
        <x:v>0.0029889314671817024</x:v>
      </x:c>
      <x:c r="O230" s="369" t="n">
        <x:f>IF(A230="","",AVERAGE(C230:N230))</x:f>
        <x:v>0.0009739775791955674</x:v>
      </x:c>
      <x:c r="P230" s="369" t="n">
        <x:f>IF(A230="","",SUMPRODUCT(C230:N230,'03_12_Errors'!$P$4:$AA$4)/SUM('03_12_Errors'!$P$4:$AA$4))</x:f>
        <x:v>0.0010834078766581133</x:v>
      </x:c>
      <x:c r="Q230" s="369" t="n">
        <x:f>IF(A230="","",SQRT(SUMSQ(C230:N230)/12))</x:f>
        <x:v>0.0012627117020392303</x:v>
      </x:c>
      <x:c r="R230" s="369" t="n">
        <x:f>IF(A230="","",MAX(C230:N230))</x:f>
        <x:v>0.0029889314671817024</x:v>
      </x:c>
      <x:c r="S230" s="390" t="n">
        <x:f>IF(A230="","",COUNTIF(C230:N230,"&lt;="&amp;'00_Start'!$B$7))</x:f>
        <x:v>7</x:v>
      </x:c>
      <x:c r="T230" s="365" t="n">
        <x:f>IF(A230="","",0.5*TAN(RADIANS(A230)))</x:f>
        <x:v>0.6374903051278584</x:v>
      </x:c>
      <x:c r="U230" s="365" t="n">
        <x:f>IF(A230="","",0.5)</x:f>
        <x:v>0.5</x:v>
      </x:c>
      <x:c r="V230" s="365" t="n">
        <x:f>IF(A230="","",SQRT(2))</x:f>
        <x:v>1.4142135623730951</x:v>
      </x:c>
      <x:c r="W230" s="365" t="n">
        <x:f>IF(A230="","",SQRT(T230^2+U230^2))</x:f>
        <x:v>0.8101813927337569</x:v>
      </x:c>
      <x:c r="X230" s="365" t="n">
        <x:f>IF(A230="","",SQRT(T230^2+2*U230^2))</x:f>
        <x:v>0.9520472095080212</x:v>
      </x:c>
      <x:c r="Y230" s="127"/>
      <x:c r="Z230" s="127"/>
      <x:c r="AA230" s="127"/>
      <x:c r="AB230" s="127"/>
      <x:c r="AC230" s="127"/>
      <x:c r="AD230" s="127"/>
      <x:c r="AE230" s="127"/>
      <x:c r="AF230" s="127"/>
      <x:c r="AG230" s="127"/>
      <x:c r="AH230" s="127"/>
      <x:c r="AI230" s="127"/>
      <x:c r="AJ230" s="127"/>
      <x:c r="AK230" s="127"/>
      <x:c r="AL230" s="127"/>
    </x:row>
    <x:row r="231">
      <x:c r="A231" s="367" t="n">
        <x:f>IF(A230="","",IF(A230+'00_Start'!$B$12&lt;='00_Start'!$B$11,A230+'00_Start'!$B$12,""))</x:f>
        <x:v>51.89250000000054</x:v>
      </x:c>
      <x:c r="B231" s="367" t="n">
        <x:f>IF(A231="","",2/TAN(RADIANS(A231)))</x:f>
        <x:v>1.568623116684318</x:v>
      </x:c>
      <x:c r="C231" s="369" t="n">
        <x:f>IF($A231="","",ABS(2/T231-'02_Constants'!$D$6)/'02_Constants'!$D$6)</x:f>
        <x:v>0.001383508525903393</x:v>
      </x:c>
      <x:c r="D231" s="369" t="n">
        <x:f>IF($A231="","",ABS(2/(T231+2*V231)-'02_Constants'!$D$7)/'02_Constants'!$D$7)</x:f>
        <x:v>0.000294136743212722</x:v>
      </x:c>
      <x:c r="E231" s="369" t="n">
        <x:f>IF($A231="","",ABS((T231+2*V231)/2-'02_Constants'!$D$8)/'02_Constants'!$D$8)</x:f>
        <x:v>0.000527487730247787</x:v>
      </x:c>
      <x:c r="F231" s="369" t="n">
        <x:f>IF($A231="","",ABS((T231+2*V231)/V231-'02_Constants'!$D$9)/'02_Constants'!$D$9)</x:f>
        <x:v>0.0005274877302477857</x:v>
      </x:c>
      <x:c r="G231" s="369" t="n">
        <x:f>IF($A231="","",ABS(V231-'02_Constants'!$D$10)/'02_Constants'!$D$10)</x:f>
        <x:v>0</x:v>
      </x:c>
      <x:c r="H231" s="369" t="n">
        <x:f>IF($A231="","",ABS((W231+1)/W231-'02_Constants'!$D$11)/'02_Constants'!$D$11)</x:f>
        <x:v>0.0008006101346941833</x:v>
      </x:c>
      <x:c r="I231" s="369" t="n">
        <x:f>IF($A231="","",ABS((U231+2*V231)/(W231+1)-'02_Constants'!$D$12)/'02_Constants'!$D$12)</x:f>
        <x:v>0.00030999496903215797</x:v>
      </x:c>
      <x:c r="J231" s="369" t="n">
        <x:f>IF($A231="","",ABS(X231/U231-'02_Constants'!$D$13)/'02_Constants'!$D$13)</x:f>
        <x:v>0.0010247180775575118</x:v>
      </x:c>
      <x:c r="K231" s="369" t="n">
        <x:f>IF($A231="","",ABS(W231/(W231+U231)-'02_Constants'!$D$14)/'02_Constants'!$D$14)</x:f>
        <x:v>0.0005535142056898438</x:v>
      </x:c>
      <x:c r="L231" s="369" t="n">
        <x:f>IF($A231="","",ABS(W231/U231-'02_Constants'!$D$15)/'02_Constants'!$D$15)</x:f>
        <x:v>0.0014504180050768298</x:v>
      </x:c>
      <x:c r="M231" s="369" t="n">
        <x:f>IF($A231="","",ABS(2*A231/(90-A231)-'02_Constants'!$D$16)/'02_Constants'!$D$16)</x:f>
        <x:v>0.001912164324059012</x:v>
      </x:c>
      <x:c r="N231" s="369" t="n">
        <x:f>IF($A231="","",ABS(2*A231/(90-A231)-1-'02_Constants'!$D$17)/'02_Constants'!$D$17)</x:f>
        <x:v>0.0030249994203678876</x:v>
      </x:c>
      <x:c r="O231" s="369" t="n">
        <x:f>IF(A231="","",AVERAGE(C231:N231))</x:f>
        <x:v>0.0009840866555074262</x:v>
      </x:c>
      <x:c r="P231" s="369" t="n">
        <x:f>IF(A231="","",SUMPRODUCT(C231:N231,'03_12_Errors'!$P$4:$AA$4)/SUM('03_12_Errors'!$P$4:$AA$4))</x:f>
        <x:v>0.0010952258268493718</x:v>
      </x:c>
      <x:c r="Q231" s="369" t="n">
        <x:f>IF(A231="","",SQRT(SUMSQ(C231:N231)/12))</x:f>
        <x:v>0.001276757081565576</x:v>
      </x:c>
      <x:c r="R231" s="369" t="n">
        <x:f>IF(A231="","",MAX(C231:N231))</x:f>
        <x:v>0.0030249994203678876</x:v>
      </x:c>
      <x:c r="S231" s="390" t="n">
        <x:f>IF(A231="","",COUNTIF(C231:N231,"&lt;="&amp;'00_Start'!$B$7))</x:f>
        <x:v>7</x:v>
      </x:c>
      <x:c r="T231" s="365" t="n">
        <x:f>IF(A231="","",0.5*TAN(RADIANS(A231)))</x:f>
        <x:v>0.637501761489881</x:v>
      </x:c>
      <x:c r="U231" s="365" t="n">
        <x:f>IF(A231="","",0.5)</x:f>
        <x:v>0.5</x:v>
      </x:c>
      <x:c r="V231" s="365" t="n">
        <x:f>IF(A231="","",SQRT(2))</x:f>
        <x:v>1.4142135623730951</x:v>
      </x:c>
      <x:c r="W231" s="365" t="n">
        <x:f>IF(A231="","",SQRT(T231^2+U231^2))</x:f>
        <x:v>0.810190407190002</x:v>
      </x:c>
      <x:c r="X231" s="365" t="n">
        <x:f>IF(A231="","",SQRT(T231^2+2*U231^2))</x:f>
        <x:v>0.952054880719962</x:v>
      </x:c>
      <x:c r="Y231" s="127"/>
      <x:c r="Z231" s="127"/>
      <x:c r="AA231" s="127"/>
      <x:c r="AB231" s="127"/>
      <x:c r="AC231" s="127"/>
      <x:c r="AD231" s="127"/>
      <x:c r="AE231" s="127"/>
      <x:c r="AF231" s="127"/>
      <x:c r="AG231" s="127"/>
      <x:c r="AH231" s="127"/>
      <x:c r="AI231" s="127"/>
      <x:c r="AJ231" s="127"/>
      <x:c r="AK231" s="127"/>
      <x:c r="AL231" s="127"/>
    </x:row>
    <x:row r="232">
      <x:c r="A232" s="367" t="n">
        <x:f>IF(A231="","",IF(A231+'00_Start'!$B$12&lt;='00_Start'!$B$11,A231+'00_Start'!$B$12,""))</x:f>
        <x:v>51.89300000000054</x:v>
      </x:c>
      <x:c r="B232" s="367" t="n">
        <x:f>IF(A232="","",2/TAN(RADIANS(A232)))</x:f>
        <x:v>1.5685949272857325</x:v>
      </x:c>
      <x:c r="C232" s="369" t="n">
        <x:f>IF($A232="","",ABS(2/T232-'02_Constants'!$D$6)/'02_Constants'!$D$6)</x:f>
        <x:v>0.0014014544544141499</x:v>
      </x:c>
      <x:c r="D232" s="369" t="n">
        <x:f>IF($A232="","",ABS(2/(T232+2*V232)-'02_Constants'!$D$7)/'02_Constants'!$D$7)</x:f>
        <x:v>0.0002974412568567319</x:v>
      </x:c>
      <x:c r="E232" s="369" t="n">
        <x:f>IF($A232="","",ABS((T232+2*V232)/2-'02_Constants'!$D$8)/'02_Constants'!$D$8)</x:f>
        <x:v>0.0005307949706919993</x:v>
      </x:c>
      <x:c r="F232" s="369" t="n">
        <x:f>IF($A232="","",ABS((T232+2*V232)/V232-'02_Constants'!$D$9)/'02_Constants'!$D$9)</x:f>
        <x:v>0.0005307949706920486</x:v>
      </x:c>
      <x:c r="G232" s="369" t="n">
        <x:f>IF($A232="","",ABS(V232-'02_Constants'!$D$10)/'02_Constants'!$D$10)</x:f>
        <x:v>0</x:v>
      </x:c>
      <x:c r="H232" s="369" t="n">
        <x:f>IF($A232="","",ABS((W232+1)/W232-'02_Constants'!$D$11)/'02_Constants'!$D$11)</x:f>
        <x:v>0.0008067518282614169</x:v>
      </x:c>
      <x:c r="I232" s="369" t="n">
        <x:f>IF($A232="","",ABS((U232+2*V232)/(W232+1)-'02_Constants'!$D$12)/'02_Constants'!$D$12)</x:f>
        <x:v>0.00031497338407302563</x:v>
      </x:c>
      <x:c r="J232" s="369" t="n">
        <x:f>IF($A232="","",ABS(X232/U232-'02_Constants'!$D$13)/'02_Constants'!$D$13)</x:f>
        <x:v>0.0010327841249431202</x:v>
      </x:c>
      <x:c r="K232" s="369" t="n">
        <x:f>IF($A232="","",ABS(W232/(W232+U232)-'02_Constants'!$D$14)/'02_Constants'!$D$14)</x:f>
        <x:v>0.0005577627289243331</x:v>
      </x:c>
      <x:c r="L232" s="369" t="n">
        <x:f>IF($A232="","",ABS(W232/U232-'02_Constants'!$D$15)/'02_Constants'!$D$15)</x:f>
        <x:v>0.001461560809998094</x:v>
      </x:c>
      <x:c r="M232" s="369" t="n">
        <x:f>IF($A232="","",ABS(2*A232/(90-A232)-'02_Constants'!$D$16)/'02_Constants'!$D$16)</x:f>
        <x:v>0.001934964217079735</x:v>
      </x:c>
      <x:c r="N232" s="369" t="n">
        <x:f>IF($A232="","",ABS(2*A232/(90-A232)-1-'02_Constants'!$D$17)/'02_Constants'!$D$17)</x:f>
        <x:v>0.003061068320045784</x:v>
      </x:c>
      <x:c r="O232" s="369" t="n">
        <x:f>IF(A232="","",AVERAGE(C232:N232))</x:f>
        <x:v>0.0009941959221650366</x:v>
      </x:c>
      <x:c r="P232" s="369" t="n">
        <x:f>IF(A232="","",SUMPRODUCT(C232:N232,'03_12_Errors'!$P$4:$AA$4)/SUM('03_12_Errors'!$P$4:$AA$4))</x:f>
        <x:v>0.0011070439589668773</x:v>
      </x:c>
      <x:c r="Q232" s="369" t="n">
        <x:f>IF(A232="","",SQRT(SUMSQ(C232:N232)/12))</x:f>
        <x:v>0.0012908078003450675</x:v>
      </x:c>
      <x:c r="R232" s="369" t="n">
        <x:f>IF(A232="","",MAX(C232:N232))</x:f>
        <x:v>0.003061068320045784</x:v>
      </x:c>
      <x:c r="S232" s="390" t="n">
        <x:f>IF(A232="","",COUNTIF(C232:N232,"&lt;="&amp;'00_Start'!$B$7))</x:f>
        <x:v>7</x:v>
      </x:c>
      <x:c r="T232" s="365" t="n">
        <x:f>IF(A232="","",0.5*TAN(RADIANS(A232)))</x:f>
        <x:v>0.6375132181068451</x:v>
      </x:c>
      <x:c r="U232" s="365" t="n">
        <x:f>IF(A232="","",0.5)</x:f>
        <x:v>0.5</x:v>
      </x:c>
      <x:c r="V232" s="365" t="n">
        <x:f>IF(A232="","",SQRT(2))</x:f>
        <x:v>1.4142135623730951</x:v>
      </x:c>
      <x:c r="W232" s="365" t="n">
        <x:f>IF(A232="","",SQRT(T232^2+U232^2))</x:f>
        <x:v>0.8101994219085483</x:v>
      </x:c>
      <x:c r="X232" s="365" t="n">
        <x:f>IF(A232="","",SQRT(T232^2+2*U232^2))</x:f>
        <x:v>0.9520625521786612</x:v>
      </x:c>
      <x:c r="Y232" s="127"/>
      <x:c r="Z232" s="127"/>
      <x:c r="AA232" s="127"/>
      <x:c r="AB232" s="127"/>
      <x:c r="AC232" s="127"/>
      <x:c r="AD232" s="127"/>
      <x:c r="AE232" s="127"/>
      <x:c r="AF232" s="127"/>
      <x:c r="AG232" s="127"/>
      <x:c r="AH232" s="127"/>
      <x:c r="AI232" s="127"/>
      <x:c r="AJ232" s="127"/>
      <x:c r="AK232" s="127"/>
      <x:c r="AL232" s="127"/>
    </x:row>
    <x:row r="233">
      <x:c r="A233" s="367" t="n">
        <x:f>IF(A232="","",IF(A232+'00_Start'!$B$12&lt;='00_Start'!$B$11,A232+'00_Start'!$B$12,""))</x:f>
        <x:v>51.89350000000054</x:v>
      </x:c>
      <x:c r="B233" s="367" t="n">
        <x:f>IF(A233="","",2/TAN(RADIANS(A233)))</x:f>
        <x:v>1.5685667382730168</x:v>
      </x:c>
      <x:c r="C233" s="369" t="n">
        <x:f>IF($A233="","",ABS(2/T233-'02_Constants'!$D$6)/'02_Constants'!$D$6)</x:f>
        <x:v>0.0014194001372724336</x:v>
      </x:c>
      <x:c r="D233" s="369" t="n">
        <x:f>IF($A233="","",ABS(2/(T233+2*V233)-'02_Constants'!$D$7)/'02_Constants'!$D$7)</x:f>
        <x:v>0.0003007458221914538</x:v>
      </x:c>
      <x:c r="E233" s="369" t="n">
        <x:f>IF($A233="","",ABS((T233+2*V233)/2-'02_Constants'!$D$8)/'02_Constants'!$D$8)</x:f>
        <x:v>0.0005341022847342754</x:v>
      </x:c>
      <x:c r="F233" s="369" t="n">
        <x:f>IF($A233="","",ABS((T233+2*V233)/V233-'02_Constants'!$D$9)/'02_Constants'!$D$9)</x:f>
        <x:v>0.0005341022847343216</x:v>
      </x:c>
      <x:c r="G233" s="369" t="n">
        <x:f>IF($A233="","",ABS(V233-'02_Constants'!$D$10)/'02_Constants'!$D$10)</x:f>
        <x:v>0</x:v>
      </x:c>
      <x:c r="H233" s="369" t="n">
        <x:f>IF($A233="","",ABS((W233+1)/W233-'02_Constants'!$D$11)/'02_Constants'!$D$11)</x:f>
        <x:v>0.0008128935638645077</x:v>
      </x:c>
      <x:c r="I233" s="369" t="n">
        <x:f>IF($A233="","",ABS((U233+2*V233)/(W233+1)-'02_Constants'!$D$12)/'02_Constants'!$D$12)</x:f>
        <x:v>0.0003199518943897387</x:v>
      </x:c>
      <x:c r="J233" s="369" t="n">
        <x:f>IF($A233="","",ABS(X233/U233-'02_Constants'!$D$13)/'02_Constants'!$D$13)</x:f>
        <x:v>0.0010408504317895254</x:v>
      </x:c>
      <x:c r="K233" s="369" t="n">
        <x:f>IF($A233="","",ABS(W233/(W233+U233)-'02_Constants'!$D$14)/'02_Constants'!$D$14)</x:f>
        <x:v>0.000562011317317785</x:v>
      </x:c>
      <x:c r="L233" s="369" t="n">
        <x:f>IF($A233="","",ABS(W233/U233-'02_Constants'!$D$15)/'02_Constants'!$D$15)</x:f>
        <x:v>0.001472703939153936</x:v>
      </x:c>
      <x:c r="M233" s="369" t="n">
        <x:f>IF($A233="","",ABS(2*A233/(90-A233)-'02_Constants'!$D$16)/'02_Constants'!$D$16)</x:f>
        <x:v>0.001957764708420689</x:v>
      </x:c>
      <x:c r="N233" s="369" t="n">
        <x:f>IF($A233="","",ABS(2*A233/(90-A233)-1-'02_Constants'!$D$17)/'02_Constants'!$D$17)</x:f>
        <x:v>0.003097138166252349</x:v>
      </x:c>
      <x:c r="O233" s="369" t="n">
        <x:f>IF(A233="","",AVERAGE(C233:N233))</x:f>
        <x:v>0.0010043053791767512</x:v>
      </x:c>
      <x:c r="P233" s="369" t="n">
        <x:f>IF(A233="","",SUMPRODUCT(C233:N233,'03_12_Errors'!$P$4:$AA$4)/SUM('03_12_Errors'!$P$4:$AA$4))</x:f>
        <x:v>0.0011188622730200516</x:v>
      </x:c>
      <x:c r="Q233" s="369" t="n">
        <x:f>IF(A233="","",SQRT(SUMSQ(C233:N233)/12))</x:f>
        <x:v>0.0013048636956342436</x:v>
      </x:c>
      <x:c r="R233" s="369" t="n">
        <x:f>IF(A233="","",MAX(C233:N233))</x:f>
        <x:v>0.003097138166252349</x:v>
      </x:c>
      <x:c r="S233" s="390" t="n">
        <x:f>IF(A233="","",COUNTIF(C233:N233,"&lt;="&amp;'00_Start'!$B$7))</x:f>
        <x:v>7</x:v>
      </x:c>
      <x:c r="T233" s="365" t="n">
        <x:f>IF(A233="","",0.5*TAN(RADIANS(A233)))</x:f>
        <x:v>0.6375246749787608</x:v>
      </x:c>
      <x:c r="U233" s="365" t="n">
        <x:f>IF(A233="","",0.5)</x:f>
        <x:v>0.5</x:v>
      </x:c>
      <x:c r="V233" s="365" t="n">
        <x:f>IF(A233="","",SQRT(2))</x:f>
        <x:v>1.4142135623730951</x:v>
      </x:c>
      <x:c r="W233" s="365" t="n">
        <x:f>IF(A233="","",SQRT(T233^2+U233^2))</x:f>
        <x:v>0.8102084368894059</x:v>
      </x:c>
      <x:c r="X233" s="365" t="n">
        <x:f>IF(A233="","",SQRT(T233^2+2*U233^2))</x:f>
        <x:v>0.9520702238841284</x:v>
      </x:c>
      <x:c r="Y233" s="127"/>
      <x:c r="Z233" s="127"/>
      <x:c r="AA233" s="127"/>
      <x:c r="AB233" s="127"/>
      <x:c r="AC233" s="127"/>
      <x:c r="AD233" s="127"/>
      <x:c r="AE233" s="127"/>
      <x:c r="AF233" s="127"/>
      <x:c r="AG233" s="127"/>
      <x:c r="AH233" s="127"/>
      <x:c r="AI233" s="127"/>
      <x:c r="AJ233" s="127"/>
      <x:c r="AK233" s="127"/>
      <x:c r="AL233" s="127"/>
    </x:row>
    <x:row r="234">
      <x:c r="A234" s="367" t="n">
        <x:f>IF(A233="","",IF(A233+'00_Start'!$B$12&lt;='00_Start'!$B$11,A233+'00_Start'!$B$12,""))</x:f>
        <x:v>51.894000000000545</x:v>
      </x:c>
      <x:c r="B234" s="367" t="n">
        <x:f>IF(A234="","",2/TAN(RADIANS(A234)))</x:f>
        <x:v>1.5685385496461595</x:v>
      </x:c>
      <x:c r="C234" s="369" t="n">
        <x:f>IF($A234="","",ABS(2/T234-'02_Constants'!$D$6)/'02_Constants'!$D$6)</x:f>
        <x:v>0.0014373455744857361</x:v>
      </x:c>
      <x:c r="D234" s="369" t="n">
        <x:f>IF($A234="","",ABS(2/(T234+2*V234)-'02_Constants'!$D$7)/'02_Constants'!$D$7)</x:f>
        <x:v>0.0003040504392186187</x:v>
      </x:c>
      <x:c r="E234" s="369" t="n">
        <x:f>IF($A234="","",ABS((T234+2*V234)/2-'02_Constants'!$D$8)/'02_Constants'!$D$8)</x:f>
        <x:v>0.0005374096723776918</x:v>
      </x:c>
      <x:c r="F234" s="369" t="n">
        <x:f>IF($A234="","",ABS((T234+2*V234)/V234-'02_Constants'!$D$9)/'02_Constants'!$D$9)</x:f>
        <x:v>0.0005374096723776866</x:v>
      </x:c>
      <x:c r="G234" s="369" t="n">
        <x:f>IF($A234="","",ABS(V234-'02_Constants'!$D$10)/'02_Constants'!$D$10)</x:f>
        <x:v>0</x:v>
      </x:c>
      <x:c r="H234" s="369" t="n">
        <x:f>IF($A234="","",ABS((W234+1)/W234-'02_Constants'!$D$11)/'02_Constants'!$D$11)</x:f>
        <x:v>0.0008190353415026611</x:v>
      </x:c>
      <x:c r="I234" s="369" t="n">
        <x:f>IF($A234="","",ABS((U234+2*V234)/(W234+1)-'02_Constants'!$D$12)/'02_Constants'!$D$12)</x:f>
        <x:v>0.000324930499984591</x:v>
      </x:c>
      <x:c r="J234" s="369" t="n">
        <x:f>IF($A234="","",ABS(X234/U234-'02_Constants'!$D$13)/'02_Constants'!$D$13)</x:f>
        <x:v>0.0010489169981077007</x:v>
      </x:c>
      <x:c r="K234" s="369" t="n">
        <x:f>IF($A234="","",ABS(W234/(W234+U234)-'02_Constants'!$D$14)/'02_Constants'!$D$14)</x:f>
        <x:v>0.0005662599708703793</x:v>
      </x:c>
      <x:c r="L234" s="369" t="n">
        <x:f>IF($A234="","",ABS(W234/U234-'02_Constants'!$D$15)/'02_Constants'!$D$15)</x:f>
        <x:v>0.0014838473925571187</x:v>
      </x:c>
      <x:c r="M234" s="369" t="n">
        <x:f>IF($A234="","",ABS(2*A234/(90-A234)-'02_Constants'!$D$16)/'02_Constants'!$D$16)</x:f>
        <x:v>0.0019805657981054</x:v>
      </x:c>
      <x:c r="N234" s="369" t="n">
        <x:f>IF($A234="","",ABS(2*A234/(90-A234)-1-'02_Constants'!$D$17)/'02_Constants'!$D$17)</x:f>
        <x:v>0.0031332089590248</x:v>
      </x:c>
      <x:c r="O234" s="369" t="n">
        <x:f>IF(A234="","",AVERAGE(C234:N234))</x:f>
        <x:v>0.0010144150265510318</x:v>
      </x:c>
      <x:c r="P234" s="369" t="n">
        <x:f>IF(A234="","",SUMPRODUCT(C234:N234,'03_12_Errors'!$P$4:$AA$4)/SUM('03_12_Errors'!$P$4:$AA$4))</x:f>
        <x:v>0.00113068076901853</x:v>
      </x:c>
      <x:c r="Q234" s="369" t="n">
        <x:f>IF(A234="","",SQRT(SUMSQ(C234:N234)/12))</x:f>
        <x:v>0.0013189246115658543</x:v>
      </x:c>
      <x:c r="R234" s="369" t="n">
        <x:f>IF(A234="","",MAX(C234:N234))</x:f>
        <x:v>0.0031332089590248</x:v>
      </x:c>
      <x:c r="S234" s="390" t="n">
        <x:f>IF(A234="","",COUNTIF(C234:N234,"&lt;="&amp;'00_Start'!$B$7))</x:f>
        <x:v>7</x:v>
      </x:c>
      <x:c r="T234" s="365" t="n">
        <x:f>IF(A234="","",0.5*TAN(RADIANS(A234)))</x:f>
        <x:v>0.6375361321056382</x:v>
      </x:c>
      <x:c r="U234" s="365" t="n">
        <x:f>IF(A234="","",0.5)</x:f>
        <x:v>0.5</x:v>
      </x:c>
      <x:c r="V234" s="365" t="n">
        <x:f>IF(A234="","",SQRT(2))</x:f>
        <x:v>1.4142135623730951</x:v>
      </x:c>
      <x:c r="W234" s="365" t="n">
        <x:f>IF(A234="","",SQRT(T234^2+U234^2))</x:f>
        <x:v>0.8102174521325851</x:v>
      </x:c>
      <x:c r="X234" s="365" t="n">
        <x:f>IF(A234="","",SQRT(T234^2+2*U234^2))</x:f>
        <x:v>0.9520778958363741</x:v>
      </x:c>
      <x:c r="Y234" s="127"/>
      <x:c r="Z234" s="127"/>
      <x:c r="AA234" s="127"/>
      <x:c r="AB234" s="127"/>
      <x:c r="AC234" s="127"/>
      <x:c r="AD234" s="127"/>
      <x:c r="AE234" s="127"/>
      <x:c r="AF234" s="127"/>
      <x:c r="AG234" s="127"/>
      <x:c r="AH234" s="127"/>
      <x:c r="AI234" s="127"/>
      <x:c r="AJ234" s="127"/>
      <x:c r="AK234" s="127"/>
      <x:c r="AL234" s="127"/>
    </x:row>
    <x:row r="235">
      <x:c r="A235" s="367" t="n">
        <x:f>IF(A234="","",IF(A234+'00_Start'!$B$12&lt;='00_Start'!$B$11,A234+'00_Start'!$B$12,""))</x:f>
        <x:v>51.89450000000055</x:v>
      </x:c>
      <x:c r="B235" s="367" t="n">
        <x:f>IF(A235="","",2/TAN(RADIANS(A235)))</x:f>
        <x:v>1.568510361405147</x:v>
      </x:c>
      <x:c r="C235" s="369" t="n">
        <x:f>IF($A235="","",ABS(2/T235-'02_Constants'!$D$6)/'02_Constants'!$D$6)</x:f>
        <x:v>0.0014552907660625386</x:v>
      </x:c>
      <x:c r="D235" s="369" t="n">
        <x:f>IF($A235="","",ABS(2/(T235+2*V235)-'02_Constants'!$D$7)/'02_Constants'!$D$7)</x:f>
        <x:v>0.00030735510794015</x:v>
      </x:c>
      <x:c r="E235" s="369" t="n">
        <x:f>IF($A235="","",ABS((T235+2*V235)/2-'02_Constants'!$D$8)/'02_Constants'!$D$8)</x:f>
        <x:v>0.0005407171336251972</x:v>
      </x:c>
      <x:c r="F235" s="369" t="n">
        <x:f>IF($A235="","",ABS((T235+2*V235)/V235-'02_Constants'!$D$9)/'02_Constants'!$D$9)</x:f>
        <x:v>0.0005407171336252257</x:v>
      </x:c>
      <x:c r="G235" s="369" t="n">
        <x:f>IF($A235="","",ABS(V235-'02_Constants'!$D$10)/'02_Constants'!$D$10)</x:f>
        <x:v>0</x:v>
      </x:c>
      <x:c r="H235" s="369" t="n">
        <x:f>IF($A235="","",ABS((W235+1)/W235-'02_Constants'!$D$11)/'02_Constants'!$D$11)</x:f>
        <x:v>0.00082517716117548</x:v>
      </x:c>
      <x:c r="I235" s="369" t="n">
        <x:f>IF($A235="","",ABS((U235+2*V235)/(W235+1)-'02_Constants'!$D$12)/'02_Constants'!$D$12)</x:f>
        <x:v>0.0003299092008593934</x:v>
      </x:c>
      <x:c r="J235" s="369" t="n">
        <x:f>IF($A235="","",ABS(X235/U235-'02_Constants'!$D$13)/'02_Constants'!$D$13)</x:f>
        <x:v>0.0010569838239082685</x:v>
      </x:c>
      <x:c r="K235" s="369" t="n">
        <x:f>IF($A235="","",ABS(W235/(W235+U235)-'02_Constants'!$D$14)/'02_Constants'!$D$14)</x:f>
        <x:v>0.000570508689583553</x:v>
      </x:c>
      <x:c r="L235" s="369" t="n">
        <x:f>IF($A235="","",ABS(W235/U235-'02_Constants'!$D$15)/'02_Constants'!$D$15)</x:f>
        <x:v>0.0014949911702199926</x:v>
      </x:c>
      <x:c r="M235" s="369" t="n">
        <x:f>IF($A235="","",ABS(2*A235/(90-A235)-'02_Constants'!$D$16)/'02_Constants'!$D$16)</x:f>
        <x:v>0.00200336748615772</x:v>
      </x:c>
      <x:c r="N235" s="369" t="n">
        <x:f>IF($A235="","",ABS(2*A235/(90-A235)-1-'02_Constants'!$D$17)/'02_Constants'!$D$17)</x:f>
        <x:v>0.0031692806984008706</x:v>
      </x:c>
      <x:c r="O235" s="369" t="n">
        <x:f>IF(A235="","",AVERAGE(C235:N235))</x:f>
        <x:v>0.0010245248642965323</x:v>
      </x:c>
      <x:c r="P235" s="369" t="n">
        <x:f>IF(A235="","",SUMPRODUCT(C235:N235,'03_12_Errors'!$P$4:$AA$4)/SUM('03_12_Errors'!$P$4:$AA$4))</x:f>
        <x:v>0.0011424994469721162</x:v>
      </x:c>
      <x:c r="Q235" s="369" t="n">
        <x:f>IF(A235="","",SQRT(SUMSQ(C235:N235)/12))</x:f>
        <x:v>0.0013329903987924067</x:v>
      </x:c>
      <x:c r="R235" s="369" t="n">
        <x:f>IF(A235="","",MAX(C235:N235))</x:f>
        <x:v>0.0031692806984008706</x:v>
      </x:c>
      <x:c r="S235" s="390" t="n">
        <x:f>IF(A235="","",COUNTIF(C235:N235,"&lt;="&amp;'00_Start'!$B$7))</x:f>
        <x:v>7</x:v>
      </x:c>
      <x:c r="T235" s="365" t="n">
        <x:f>IF(A235="","",0.5*TAN(RADIANS(A235)))</x:f>
        <x:v>0.6375475894874879</x:v>
      </x:c>
      <x:c r="U235" s="365" t="n">
        <x:f>IF(A235="","",0.5)</x:f>
        <x:v>0.5</x:v>
      </x:c>
      <x:c r="V235" s="365" t="n">
        <x:f>IF(A235="","",SQRT(2))</x:f>
        <x:v>1.4142135623730951</x:v>
      </x:c>
      <x:c r="W235" s="365" t="n">
        <x:f>IF(A235="","",SQRT(T235^2+U235^2))</x:f>
        <x:v>0.8102264676380959</x:v>
      </x:c>
      <x:c r="X235" s="365" t="n">
        <x:f>IF(A235="","",SQRT(T235^2+2*U235^2))</x:f>
        <x:v>0.9520855680354084</x:v>
      </x:c>
      <x:c r="Y235" s="127"/>
      <x:c r="Z235" s="127"/>
      <x:c r="AA235" s="127"/>
      <x:c r="AB235" s="127"/>
      <x:c r="AC235" s="127"/>
      <x:c r="AD235" s="127"/>
      <x:c r="AE235" s="127"/>
      <x:c r="AF235" s="127"/>
      <x:c r="AG235" s="127"/>
      <x:c r="AH235" s="127"/>
      <x:c r="AI235" s="127"/>
      <x:c r="AJ235" s="127"/>
      <x:c r="AK235" s="127"/>
      <x:c r="AL235" s="127"/>
    </x:row>
    <x:row r="236">
      <x:c r="A236" s="367" t="n">
        <x:f>IF(A235="","",IF(A235+'00_Start'!$B$12&lt;='00_Start'!$B$11,A235+'00_Start'!$B$12,""))</x:f>
        <x:v>51.89500000000055</x:v>
      </x:c>
      <x:c r="B236" s="367" t="n">
        <x:f>IF(A236="","",2/TAN(RADIANS(A236)))</x:f>
        <x:v>1.5684821735499686</x:v>
      </x:c>
      <x:c r="C236" s="369" t="n">
        <x:f>IF($A236="","",ABS(2/T236-'02_Constants'!$D$6)/'02_Constants'!$D$6)</x:f>
        <x:v>0.001473235712009768</x:v>
      </x:c>
      <x:c r="D236" s="369" t="n">
        <x:f>IF($A236="","",ABS(2/(T236+2*V236)-'02_Constants'!$D$7)/'02_Constants'!$D$7)</x:f>
        <x:v>0.00031065982835758654</x:v>
      </x:c>
      <x:c r="E236" s="369" t="n">
        <x:f>IF($A236="","",ABS((T236+2*V236)/2-'02_Constants'!$D$8)/'02_Constants'!$D$8)</x:f>
        <x:v>0.0005440246684798683</x:v>
      </x:c>
      <x:c r="F236" s="369" t="n">
        <x:f>IF($A236="","",ABS((T236+2*V236)/V236-'02_Constants'!$D$9)/'02_Constants'!$D$9)</x:f>
        <x:v>0.0005440246684798399</x:v>
      </x:c>
      <x:c r="G236" s="369" t="n">
        <x:f>IF($A236="","",ABS(V236-'02_Constants'!$D$10)/'02_Constants'!$D$10)</x:f>
        <x:v>0</x:v>
      </x:c>
      <x:c r="H236" s="369" t="n">
        <x:f>IF($A236="","",ABS((W236+1)/W236-'02_Constants'!$D$11)/'02_Constants'!$D$11)</x:f>
        <x:v>0.0008313190228825672</x:v>
      </x:c>
      <x:c r="I236" s="369" t="n">
        <x:f>IF($A236="","",ABS((U236+2*V236)/(W236+1)-'02_Constants'!$D$12)/'02_Constants'!$D$12)</x:f>
        <x:v>0.0003348879970160773</x:v>
      </x:c>
      <x:c r="J236" s="369" t="n">
        <x:f>IF($A236="","",ABS(X236/U236-'02_Constants'!$D$13)/'02_Constants'!$D$13)</x:f>
        <x:v>0.0010650509092017346</x:v>
      </x:c>
      <x:c r="K236" s="369" t="n">
        <x:f>IF($A236="","",ABS(W236/(W236+U236)-'02_Constants'!$D$14)/'02_Constants'!$D$14)</x:f>
        <x:v>0.0005747574734580248</x:v>
      </x:c>
      <x:c r="L236" s="369" t="n">
        <x:f>IF($A236="","",ABS(W236/U236-'02_Constants'!$D$15)/'02_Constants'!$D$15)</x:f>
        <x:v>0.0015061352721549089</x:v>
      </x:c>
      <x:c r="M236" s="369" t="n">
        <x:f>IF($A236="","",ABS(2*A236/(90-A236)-'02_Constants'!$D$16)/'02_Constants'!$D$16)</x:f>
        <x:v>0.0020261697726008474</x:v>
      </x:c>
      <x:c r="N236" s="369" t="n">
        <x:f>IF($A236="","",ABS(2*A236/(90-A236)-1-'02_Constants'!$D$17)/'02_Constants'!$D$17)</x:f>
        <x:v>0.0032053533844172604</x:v>
      </x:c>
      <x:c r="O236" s="369" t="n">
        <x:f>IF(A236="","",AVERAGE(C236:N236))</x:f>
        <x:v>0.00103463489242154</x:v>
      </x:c>
      <x:c r="P236" s="369" t="n">
        <x:f>IF(A236="","",SUMPRODUCT(C236:N236,'03_12_Errors'!$P$4:$AA$4)/SUM('03_12_Errors'!$P$4:$AA$4))</x:f>
        <x:v>0.00115431830689015</x:v>
      </x:c>
      <x:c r="Q236" s="369" t="n">
        <x:f>IF(A236="","",SQRT(SUMSQ(C236:N236)/12))</x:f>
        <x:v>0.0013470609141506985</x:v>
      </x:c>
      <x:c r="R236" s="369" t="n">
        <x:f>IF(A236="","",MAX(C236:N236))</x:f>
        <x:v>0.0032053533844172604</x:v>
      </x:c>
      <x:c r="S236" s="390" t="n">
        <x:f>IF(A236="","",COUNTIF(C236:N236,"&lt;="&amp;'00_Start'!$B$7))</x:f>
        <x:v>7</x:v>
      </x:c>
      <x:c r="T236" s="365" t="n">
        <x:f>IF(A236="","",0.5*TAN(RADIANS(A236)))</x:f>
        <x:v>0.6375590471243199</x:v>
      </x:c>
      <x:c r="U236" s="365" t="n">
        <x:f>IF(A236="","",0.5)</x:f>
        <x:v>0.5</x:v>
      </x:c>
      <x:c r="V236" s="365" t="n">
        <x:f>IF(A236="","",SQRT(2))</x:f>
        <x:v>1.4142135623730951</x:v>
      </x:c>
      <x:c r="W236" s="365" t="n">
        <x:f>IF(A236="","",SQRT(T236^2+U236^2))</x:f>
        <x:v>0.8102354834059483</x:v>
      </x:c>
      <x:c r="X236" s="365" t="n">
        <x:f>IF(A236="","",SQRT(T236^2+2*U236^2))</x:f>
        <x:v>0.9520932404812413</x:v>
      </x:c>
      <x:c r="Y236" s="127"/>
      <x:c r="Z236" s="127"/>
      <x:c r="AA236" s="127"/>
      <x:c r="AB236" s="127"/>
      <x:c r="AC236" s="127"/>
      <x:c r="AD236" s="127"/>
      <x:c r="AE236" s="127"/>
      <x:c r="AF236" s="127"/>
      <x:c r="AG236" s="127"/>
      <x:c r="AH236" s="127"/>
      <x:c r="AI236" s="127"/>
      <x:c r="AJ236" s="127"/>
      <x:c r="AK236" s="127"/>
      <x:c r="AL236" s="127"/>
    </x:row>
    <x:row r="237">
      <x:c r="A237" s="367" t="n">
        <x:f>IF(A236="","",IF(A236+'00_Start'!$B$12&lt;='00_Start'!$B$11,A236+'00_Start'!$B$12,""))</x:f>
        <x:v>51.89550000000055</x:v>
      </x:c>
      <x:c r="B237" s="367" t="n">
        <x:f>IF(A237="","",2/TAN(RADIANS(A237)))</x:f>
        <x:v>1.5684539860806106</x:v>
      </x:c>
      <x:c r="C237" s="369" t="n">
        <x:f>IF($A237="","",ABS(2/T237-'02_Constants'!$D$6)/'02_Constants'!$D$6)</x:f>
        <x:v>0.0014911804123360472</x:v>
      </x:c>
      <x:c r="D237" s="369" t="n">
        <x:f>IF($A237="","",ABS(2/(T237+2*V237)-'02_Constants'!$D$7)/'02_Constants'!$D$7)</x:f>
        <x:v>0.00031396460047285164</x:v>
      </x:c>
      <x:c r="E237" s="369" t="n">
        <x:f>IF($A237="","",ABS((T237+2*V237)/2-'02_Constants'!$D$8)/'02_Constants'!$D$8)</x:f>
        <x:v>0.0005473322769445255</x:v>
      </x:c>
      <x:c r="F237" s="369" t="n">
        <x:f>IF($A237="","",ABS((T237+2*V237)/V237-'02_Constants'!$D$9)/'02_Constants'!$D$9)</x:f>
        <x:v>0.0005473322769444298</x:v>
      </x:c>
      <x:c r="G237" s="369" t="n">
        <x:f>IF($A237="","",ABS(V237-'02_Constants'!$D$10)/'02_Constants'!$D$10)</x:f>
        <x:v>0</x:v>
      </x:c>
      <x:c r="H237" s="369" t="n">
        <x:f>IF($A237="","",ABS((W237+1)/W237-'02_Constants'!$D$11)/'02_Constants'!$D$11)</x:f>
        <x:v>0.000837460926623327</x:v>
      </x:c>
      <x:c r="I237" s="369" t="n">
        <x:f>IF($A237="","",ABS((U237+2*V237)/(W237+1)-'02_Constants'!$D$12)/'02_Constants'!$D$12)</x:f>
        <x:v>0.000339866888457178</x:v>
      </x:c>
      <x:c r="J237" s="369" t="n">
        <x:f>IF($A237="","",ABS(X237/U237-'02_Constants'!$D$13)/'02_Constants'!$D$13)</x:f>
        <x:v>0.001073118253998722</x:v>
      </x:c>
      <x:c r="K237" s="369" t="n">
        <x:f>IF($A237="","",ABS(W237/(W237+U237)-'02_Constants'!$D$14)/'02_Constants'!$D$14)</x:f>
        <x:v>0.0005790063224945132</x:v>
      </x:c>
      <x:c r="L237" s="369" t="n">
        <x:f>IF($A237="","",ABS(W237/U237-'02_Constants'!$D$15)/'02_Constants'!$D$15)</x:f>
        <x:v>0.0015172796983747667</x:v>
      </x:c>
      <x:c r="M237" s="369" t="n">
        <x:f>IF($A237="","",ABS(2*A237/(90-A237)-'02_Constants'!$D$16)/'02_Constants'!$D$16)</x:f>
        <x:v>0.0020489726574586344</x:v>
      </x:c>
      <x:c r="N237" s="369" t="n">
        <x:f>IF($A237="","",ABS(2*A237/(90-A237)-1-'02_Constants'!$D$17)/'02_Constants'!$D$17)</x:f>
        <x:v>0.0032414270171117034</x:v>
      </x:c>
      <x:c r="O237" s="369" t="n">
        <x:f>IF(A237="","",AVERAGE(C237:N237))</x:f>
        <x:v>0.0010447451109347249</x:v>
      </x:c>
      <x:c r="P237" s="369" t="n">
        <x:f>IF(A237="","",SUMPRODUCT(C237:N237,'03_12_Errors'!$P$4:$AA$4)/SUM('03_12_Errors'!$P$4:$AA$4))</x:f>
        <x:v>0.0011661373487825426</x:v>
      </x:c>
      <x:c r="Q237" s="369" t="n">
        <x:f>IF(A237="","",SQRT(SUMSQ(C237:N237)/12))</x:f>
        <x:v>0.0013611360203482751</x:v>
      </x:c>
      <x:c r="R237" s="369" t="n">
        <x:f>IF(A237="","",MAX(C237:N237))</x:f>
        <x:v>0.0032414270171117034</x:v>
      </x:c>
      <x:c r="S237" s="390" t="n">
        <x:f>IF(A237="","",COUNTIF(C237:N237,"&lt;="&amp;'00_Start'!$B$7))</x:f>
        <x:v>7</x:v>
      </x:c>
      <x:c r="T237" s="365" t="n">
        <x:f>IF(A237="","",0.5*TAN(RADIANS(A237)))</x:f>
        <x:v>0.6375705050161447</x:v>
      </x:c>
      <x:c r="U237" s="365" t="n">
        <x:f>IF(A237="","",0.5)</x:f>
        <x:v>0.5</x:v>
      </x:c>
      <x:c r="V237" s="365" t="n">
        <x:f>IF(A237="","",SQRT(2))</x:f>
        <x:v>1.4142135623730951</x:v>
      </x:c>
      <x:c r="W237" s="365" t="n">
        <x:f>IF(A237="","",SQRT(T237^2+U237^2))</x:f>
        <x:v>0.8102444994361527</x:v>
      </x:c>
      <x:c r="X237" s="365" t="n">
        <x:f>IF(A237="","",SQRT(T237^2+2*U237^2))</x:f>
        <x:v>0.9521009131738829</x:v>
      </x:c>
      <x:c r="Y237" s="127"/>
      <x:c r="Z237" s="127"/>
      <x:c r="AA237" s="127"/>
      <x:c r="AB237" s="127"/>
      <x:c r="AC237" s="127"/>
      <x:c r="AD237" s="127"/>
      <x:c r="AE237" s="127"/>
      <x:c r="AF237" s="127"/>
      <x:c r="AG237" s="127"/>
      <x:c r="AH237" s="127"/>
      <x:c r="AI237" s="127"/>
      <x:c r="AJ237" s="127"/>
      <x:c r="AK237" s="127"/>
      <x:c r="AL237" s="127"/>
    </x:row>
    <x:row r="238">
      <x:c r="A238" s="367" t="n">
        <x:f>IF(A237="","",IF(A237+'00_Start'!$B$12&lt;='00_Start'!$B$11,A237+'00_Start'!$B$12,""))</x:f>
        <x:v>51.896000000000555</x:v>
      </x:c>
      <x:c r="B238" s="367" t="n">
        <x:f>IF(A238="","",2/TAN(RADIANS(A238)))</x:f>
        <x:v>1.5684257989970616</x:v>
      </x:c>
      <x:c r="C238" s="369" t="n">
        <x:f>IF($A238="","",ABS(2/T238-'02_Constants'!$D$6)/'02_Constants'!$D$6)</x:f>
        <x:v>0.0015091248670487264</x:v>
      </x:c>
      <x:c r="D238" s="369" t="n">
        <x:f>IF($A238="","",ABS(2/(T238+2*V238)-'02_Constants'!$D$7)/'02_Constants'!$D$7)</x:f>
        <x:v>0.00031726942428748407</x:v>
      </x:c>
      <x:c r="E238" s="369" t="n">
        <x:f>IF($A238="","",ABS((T238+2*V238)/2-'02_Constants'!$D$8)/'02_Constants'!$D$8)</x:f>
        <x:v>0.0005506399590222454</x:v>
      </x:c>
      <x:c r="F238" s="369" t="n">
        <x:f>IF($A238="","",ABS((T238+2*V238)/V238-'02_Constants'!$D$9)/'02_Constants'!$D$9)</x:f>
        <x:v>0.0005506399590222589</x:v>
      </x:c>
      <x:c r="G238" s="369" t="n">
        <x:f>IF($A238="","",ABS(V238-'02_Constants'!$D$10)/'02_Constants'!$D$10)</x:f>
        <x:v>0</x:v>
      </x:c>
      <x:c r="H238" s="369" t="n">
        <x:f>IF($A238="","",ABS((W238+1)/W238-'02_Constants'!$D$11)/'02_Constants'!$D$11)</x:f>
        <x:v>0.000843602872397759</x:v>
      </x:c>
      <x:c r="I238" s="369" t="n">
        <x:f>IF($A238="","",ABS((U238+2*V238)/(W238+1)-'02_Constants'!$D$12)/'02_Constants'!$D$12)</x:f>
        <x:v>0.00034484587518402343</x:v>
      </x:c>
      <x:c r="J238" s="369" t="n">
        <x:f>IF($A238="","",ABS(X238/U238-'02_Constants'!$D$13)/'02_Constants'!$D$13)</x:f>
        <x:v>0.00108118585830997</x:v>
      </x:c>
      <x:c r="K238" s="369" t="n">
        <x:f>IF($A238="","",ABS(W238/(W238+U238)-'02_Constants'!$D$14)/'02_Constants'!$D$14)</x:f>
        <x:v>0.0005832552366942756</x:v>
      </x:c>
      <x:c r="L238" s="369" t="n">
        <x:f>IF($A238="","",ABS(W238/U238-'02_Constants'!$D$15)/'02_Constants'!$D$15)</x:f>
        <x:v>0.0015284244488919176</x:v>
      </x:c>
      <x:c r="M238" s="369" t="n">
        <x:f>IF($A238="","",ABS(2*A238/(90-A238)-'02_Constants'!$D$16)/'02_Constants'!$D$16)</x:f>
        <x:v>0.0020717761407544437</x:v>
      </x:c>
      <x:c r="N238" s="369" t="n">
        <x:f>IF($A238="","",ABS(2*A238/(90-A238)-1-'02_Constants'!$D$17)/'02_Constants'!$D$17)</x:f>
        <x:v>0.0032775015965211575</x:v>
      </x:c>
      <x:c r="O238" s="369" t="n">
        <x:f>IF(A238="","",AVERAGE(C238:N238))</x:f>
        <x:v>0.0010548555198445218</x:v>
      </x:c>
      <x:c r="P238" s="369" t="n">
        <x:f>IF(A238="","",SUMPRODUCT(C238:N238,'03_12_Errors'!$P$4:$AA$4)/SUM('03_12_Errors'!$P$4:$AA$4))</x:f>
        <x:v>0.0011779565726587502</x:v>
      </x:c>
      <x:c r="Q238" s="369" t="n">
        <x:f>IF(A238="","",SQRT(SUMSQ(C238:N238)/12))</x:f>
        <x:v>0.0013752155856669415</x:v>
      </x:c>
      <x:c r="R238" s="369" t="n">
        <x:f>IF(A238="","",MAX(C238:N238))</x:f>
        <x:v>0.0032775015965211575</x:v>
      </x:c>
      <x:c r="S238" s="390" t="n">
        <x:f>IF(A238="","",COUNTIF(C238:N238,"&lt;="&amp;'00_Start'!$B$7))</x:f>
        <x:v>7</x:v>
      </x:c>
      <x:c r="T238" s="365" t="n">
        <x:f>IF(A238="","",0.5*TAN(RADIANS(A238)))</x:f>
        <x:v>0.6375819631629723</x:v>
      </x:c>
      <x:c r="U238" s="365" t="n">
        <x:f>IF(A238="","",0.5)</x:f>
        <x:v>0.5</x:v>
      </x:c>
      <x:c r="V238" s="365" t="n">
        <x:f>IF(A238="","",SQRT(2))</x:f>
        <x:v>1.4142135623730951</x:v>
      </x:c>
      <x:c r="W238" s="365" t="n">
        <x:f>IF(A238="","",SQRT(T238^2+U238^2))</x:f>
        <x:v>0.8102535157287192</x:v>
      </x:c>
      <x:c r="X238" s="365" t="n">
        <x:f>IF(A238="","",SQRT(T238^2+2*U238^2))</x:f>
        <x:v>0.9521085861133434</x:v>
      </x:c>
      <x:c r="Y238" s="127"/>
      <x:c r="Z238" s="127"/>
      <x:c r="AA238" s="127"/>
      <x:c r="AB238" s="127"/>
      <x:c r="AC238" s="127"/>
      <x:c r="AD238" s="127"/>
      <x:c r="AE238" s="127"/>
      <x:c r="AF238" s="127"/>
      <x:c r="AG238" s="127"/>
      <x:c r="AH238" s="127"/>
      <x:c r="AI238" s="127"/>
      <x:c r="AJ238" s="127"/>
      <x:c r="AK238" s="127"/>
      <x:c r="AL238" s="127"/>
    </x:row>
    <x:row r="239">
      <x:c r="A239" s="367" t="n">
        <x:f>IF(A238="","",IF(A238+'00_Start'!$B$12&lt;='00_Start'!$B$11,A238+'00_Start'!$B$12,""))</x:f>
        <x:v>51.89650000000056</x:v>
      </x:c>
      <x:c r="B239" s="367" t="n">
        <x:f>IF(A239="","",2/TAN(RADIANS(A239)))</x:f>
        <x:v>1.5683976122993097</x:v>
      </x:c>
      <x:c r="C239" s="369" t="n">
        <x:f>IF($A239="","",ABS(2/T239-'02_Constants'!$D$6)/'02_Constants'!$D$6)</x:f>
        <x:v>0.0015270690761552978</x:v>
      </x:c>
      <x:c r="D239" s="369" t="n">
        <x:f>IF($A239="","",ABS(2/(T239+2*V239)-'02_Constants'!$D$7)/'02_Constants'!$D$7)</x:f>
        <x:v>0.00032057429980302253</x:v>
      </x:c>
      <x:c r="E239" s="369" t="n">
        <x:f>IF($A239="","",ABS((T239+2*V239)/2-'02_Constants'!$D$8)/'02_Constants'!$D$8)</x:f>
        <x:v>0.0005539477147158485</x:v>
      </x:c>
      <x:c r="F239" s="369" t="n">
        <x:f>IF($A239="","",ABS((T239+2*V239)/V239-'02_Constants'!$D$9)/'02_Constants'!$D$9)</x:f>
        <x:v>0.0005539477147158651</x:v>
      </x:c>
      <x:c r="G239" s="369" t="n">
        <x:f>IF($A239="","",ABS(V239-'02_Constants'!$D$10)/'02_Constants'!$D$10)</x:f>
        <x:v>0</x:v>
      </x:c>
      <x:c r="H239" s="369" t="n">
        <x:f>IF($A239="","",ABS((W239+1)/W239-'02_Constants'!$D$11)/'02_Constants'!$D$11)</x:f>
        <x:v>0.0008497448602046721</x:v>
      </x:c>
      <x:c r="I239" s="369" t="n">
        <x:f>IF($A239="","",ABS((U239+2*V239)/(W239+1)-'02_Constants'!$D$12)/'02_Constants'!$D$12)</x:f>
        <x:v>0.00034982495719878664</x:v>
      </x:c>
      <x:c r="J239" s="369" t="n">
        <x:f>IF($A239="","",ABS(X239/U239-'02_Constants'!$D$13)/'02_Constants'!$D$13)</x:f>
        <x:v>0.0010892537221459848</x:v>
      </x:c>
      <x:c r="K239" s="369" t="n">
        <x:f>IF($A239="","",ABS(W239/(W239+U239)-'02_Constants'!$D$14)/'02_Constants'!$D$14)</x:f>
        <x:v>0.000587504216057851</x:v>
      </x:c>
      <x:c r="L239" s="369" t="n">
        <x:f>IF($A239="","",ABS(W239/U239-'02_Constants'!$D$15)/'02_Constants'!$D$15)</x:f>
        <x:v>0.0015395695237187116</x:v>
      </x:c>
      <x:c r="M239" s="369" t="n">
        <x:f>IF($A239="","",ABS(2*A239/(90-A239)-'02_Constants'!$D$16)/'02_Constants'!$D$16)</x:f>
        <x:v>0.002094580222511964</x:v>
      </x:c>
      <x:c r="N239" s="369" t="n">
        <x:f>IF($A239="","",ABS(2*A239/(90-A239)-1-'02_Constants'!$D$17)/'02_Constants'!$D$17)</x:f>
        <x:v>0.003313577122683098</x:v>
      </x:c>
      <x:c r="O239" s="369" t="n">
        <x:f>IF(A239="","",AVERAGE(C239:N239))</x:f>
        <x:v>0.0010649661191592585</x:v>
      </x:c>
      <x:c r="P239" s="369" t="n">
        <x:f>IF(A239="","",SUMPRODUCT(C239:N239,'03_12_Errors'!$P$4:$AA$4)/SUM('03_12_Errors'!$P$4:$AA$4))</x:f>
        <x:v>0.0011897759785282653</x:v>
      </x:c>
      <x:c r="Q239" s="369" t="n">
        <x:f>IF(A239="","",SQRT(SUMSQ(C239:N239)/12))</x:f>
        <x:v>0.0013892994836850448</x:v>
      </x:c>
      <x:c r="R239" s="369" t="n">
        <x:f>IF(A239="","",MAX(C239:N239))</x:f>
        <x:v>0.003313577122683098</x:v>
      </x:c>
      <x:c r="S239" s="390" t="n">
        <x:f>IF(A239="","",COUNTIF(C239:N239,"&lt;="&amp;'00_Start'!$B$7))</x:f>
        <x:v>7</x:v>
      </x:c>
      <x:c r="T239" s="365" t="n">
        <x:f>IF(A239="","",0.5*TAN(RADIANS(A239)))</x:f>
        <x:v>0.637593421564813</x:v>
      </x:c>
      <x:c r="U239" s="365" t="n">
        <x:f>IF(A239="","",0.5)</x:f>
        <x:v>0.5</x:v>
      </x:c>
      <x:c r="V239" s="365" t="n">
        <x:f>IF(A239="","",SQRT(2))</x:f>
        <x:v>1.4142135623730951</x:v>
      </x:c>
      <x:c r="W239" s="365" t="n">
        <x:f>IF(A239="","",SQRT(T239^2+U239^2))</x:f>
        <x:v>0.8102625322836576</x:v>
      </x:c>
      <x:c r="X239" s="365" t="n">
        <x:f>IF(A239="","",SQRT(T239^2+2*U239^2))</x:f>
        <x:v>0.9521162592996327</x:v>
      </x:c>
      <x:c r="Y239" s="127"/>
      <x:c r="Z239" s="127"/>
      <x:c r="AA239" s="127"/>
      <x:c r="AB239" s="127"/>
      <x:c r="AC239" s="127"/>
      <x:c r="AD239" s="127"/>
      <x:c r="AE239" s="127"/>
      <x:c r="AF239" s="127"/>
      <x:c r="AG239" s="127"/>
      <x:c r="AH239" s="127"/>
      <x:c r="AI239" s="127"/>
      <x:c r="AJ239" s="127"/>
      <x:c r="AK239" s="127"/>
      <x:c r="AL239" s="127"/>
    </x:row>
    <x:row r="240">
      <x:c r="A240" s="367" t="n">
        <x:f>IF(A239="","",IF(A239+'00_Start'!$B$12&lt;='00_Start'!$B$11,A239+'00_Start'!$B$12,""))</x:f>
        <x:v>51.89700000000056</x:v>
      </x:c>
      <x:c r="B240" s="367" t="n">
        <x:f>IF(A240="","",2/TAN(RADIANS(A240)))</x:f>
        <x:v>1.5683694259873422</x:v>
      </x:c>
      <x:c r="C240" s="369" t="n">
        <x:f>IF($A240="","",ABS(2/T240-'02_Constants'!$D$6)/'02_Constants'!$D$6)</x:f>
        <x:v>0.00154501303966396</x:v>
      </x:c>
      <x:c r="D240" s="369" t="n">
        <x:f>IF($A240="","",ABS(2/(T240+2*V240)-'02_Constants'!$D$7)/'02_Constants'!$D$7)</x:f>
        <x:v>0.0003238792270215828</x:v>
      </x:c>
      <x:c r="E240" s="369" t="n">
        <x:f>IF($A240="","",ABS((T240+2*V240)/2-'02_Constants'!$D$8)/'02_Constants'!$D$8)</x:f>
        <x:v>0.0005572555440284115</x:v>
      </x:c>
      <x:c r="F240" s="369" t="n">
        <x:f>IF($A240="","",ABS((T240+2*V240)/V240-'02_Constants'!$D$9)/'02_Constants'!$D$9)</x:f>
        <x:v>0.0005572555440283308</x:v>
      </x:c>
      <x:c r="G240" s="369" t="n">
        <x:f>IF($A240="","",ABS(V240-'02_Constants'!$D$10)/'02_Constants'!$D$10)</x:f>
        <x:v>0</x:v>
      </x:c>
      <x:c r="H240" s="369" t="n">
        <x:f>IF($A240="","",ABS((W240+1)/W240-'02_Constants'!$D$11)/'02_Constants'!$D$11)</x:f>
        <x:v>0.0008558868900440659</x:v>
      </x:c>
      <x:c r="I240" s="369" t="n">
        <x:f>IF($A240="","",ABS((U240+2*V240)/(W240+1)-'02_Constants'!$D$12)/'02_Constants'!$D$12)</x:f>
        <x:v>0.0003548041345038821</x:v>
      </x:c>
      <x:c r="J240" s="369" t="n">
        <x:f>IF($A240="","",ABS(X240/U240-'02_Constants'!$D$13)/'02_Constants'!$D$13)</x:f>
        <x:v>0.0010973218455173888</x:v>
      </x:c>
      <x:c r="K240" s="369" t="n">
        <x:f>IF($A240="","",ABS(W240/(W240+U240)-'02_Constants'!$D$14)/'02_Constants'!$D$14)</x:f>
        <x:v>0.0005917532605861374</x:v>
      </x:c>
      <x:c r="L240" s="369" t="n">
        <x:f>IF($A240="","",ABS(W240/U240-'02_Constants'!$D$15)/'02_Constants'!$D$15)</x:f>
        <x:v>0.001550714922868049</x:v>
      </x:c>
      <x:c r="M240" s="369" t="n">
        <x:f>IF($A240="","",ABS(2*A240/(90-A240)-'02_Constants'!$D$16)/'02_Constants'!$D$16)</x:f>
        <x:v>0.0021173849027545572</x:v>
      </x:c>
      <x:c r="N240" s="369" t="n">
        <x:f>IF($A240="","",ABS(2*A240/(90-A240)-1-'02_Constants'!$D$17)/'02_Constants'!$D$17)</x:f>
        <x:v>0.0033496535956344833</x:v>
      </x:c>
      <x:c r="O240" s="369" t="n">
        <x:f>IF(A240="","",AVERAGE(C240:N240))</x:f>
        <x:v>0.0010750769088875708</x:v>
      </x:c>
      <x:c r="P240" s="369" t="n">
        <x:f>IF(A240="","",SUMPRODUCT(C240:N240,'03_12_Errors'!$P$4:$AA$4)/SUM('03_12_Errors'!$P$4:$AA$4))</x:f>
        <x:v>0.0012015955664008797</x:v>
      </x:c>
      <x:c r="Q240" s="369" t="n">
        <x:f>IF(A240="","",SQRT(SUMSQ(C240:N240)/12))</x:f>
        <x:v>0.0014033875930158084</x:v>
      </x:c>
      <x:c r="R240" s="369" t="n">
        <x:f>IF(A240="","",MAX(C240:N240))</x:f>
        <x:v>0.0033496535956344833</x:v>
      </x:c>
      <x:c r="S240" s="390" t="n">
        <x:f>IF(A240="","",COUNTIF(C240:N240,"&lt;="&amp;'00_Start'!$B$7))</x:f>
        <x:v>7</x:v>
      </x:c>
      <x:c r="T240" s="365" t="n">
        <x:f>IF(A240="","",0.5*TAN(RADIANS(A240)))</x:f>
        <x:v>0.6376048802216773</x:v>
      </x:c>
      <x:c r="U240" s="365" t="n">
        <x:f>IF(A240="","",0.5)</x:f>
        <x:v>0.5</x:v>
      </x:c>
      <x:c r="V240" s="365" t="n">
        <x:f>IF(A240="","",SQRT(2))</x:f>
        <x:v>1.4142135623730951</x:v>
      </x:c>
      <x:c r="W240" s="365" t="n">
        <x:f>IF(A240="","",SQRT(T240^2+U240^2))</x:f>
        <x:v>0.8102715491009785</x:v>
      </x:c>
      <x:c r="X240" s="365" t="n">
        <x:f>IF(A240="","",SQRT(T240^2+2*U240^2))</x:f>
        <x:v>0.9521239327327611</x:v>
      </x:c>
      <x:c r="Y240" s="127"/>
      <x:c r="Z240" s="127"/>
      <x:c r="AA240" s="127"/>
      <x:c r="AB240" s="127"/>
      <x:c r="AC240" s="127"/>
      <x:c r="AD240" s="127"/>
      <x:c r="AE240" s="127"/>
      <x:c r="AF240" s="127"/>
      <x:c r="AG240" s="127"/>
      <x:c r="AH240" s="127"/>
      <x:c r="AI240" s="127"/>
      <x:c r="AJ240" s="127"/>
      <x:c r="AK240" s="127"/>
      <x:c r="AL240" s="127"/>
    </x:row>
    <x:row r="241">
      <x:c r="A241" s="367" t="n">
        <x:f>IF(A240="","",IF(A240+'00_Start'!$B$12&lt;='00_Start'!$B$11,A240+'00_Start'!$B$12,""))</x:f>
        <x:v>51.89750000000056</x:v>
      </x:c>
      <x:c r="B241" s="367" t="n">
        <x:f>IF(A241="","",2/TAN(RADIANS(A241)))</x:f>
        <x:v>1.568341240061147</x:v>
      </x:c>
      <x:c r="C241" s="369" t="n">
        <x:f>IF($A241="","",ABS(2/T241-'02_Constants'!$D$6)/'02_Constants'!$D$6)</x:f>
        <x:v>0.0015629567575823468</x:v>
      </x:c>
      <x:c r="D241" s="369" t="n">
        <x:f>IF($A241="","",ABS(2/(T241+2*V241)-'02_Constants'!$D$7)/'02_Constants'!$D$7)</x:f>
        <x:v>0.00032718420594451123</x:v>
      </x:c>
      <x:c r="E241" s="369" t="n">
        <x:f>IF($A241="","",ABS((T241+2*V241)/2-'02_Constants'!$D$8)/'02_Constants'!$D$8)</x:f>
        <x:v>0.0005605634469627547</x:v>
      </x:c>
      <x:c r="F241" s="369" t="n">
        <x:f>IF($A241="","",ABS((T241+2*V241)/V241-'02_Constants'!$D$9)/'02_Constants'!$D$9)</x:f>
        <x:v>0.0005605634469627379</x:v>
      </x:c>
      <x:c r="G241" s="369" t="n">
        <x:f>IF($A241="","",ABS(V241-'02_Constants'!$D$10)/'02_Constants'!$D$10)</x:f>
        <x:v>0</x:v>
      </x:c>
      <x:c r="H241" s="369" t="n">
        <x:f>IF($A241="","",ABS((W241+1)/W241-'02_Constants'!$D$11)/'02_Constants'!$D$11)</x:f>
        <x:v>0.0008620289619153448</x:v>
      </x:c>
      <x:c r="I241" s="369" t="n">
        <x:f>IF($A241="","",ABS((U241+2*V241)/(W241+1)-'02_Constants'!$D$12)/'02_Constants'!$D$12)</x:f>
        <x:v>0.0003597834071008792</x:v>
      </x:c>
      <x:c r="J241" s="369" t="n">
        <x:f>IF($A241="","",ABS(X241/U241-'02_Constants'!$D$13)/'02_Constants'!$D$13)</x:f>
        <x:v>0.0011053902284349213</x:v>
      </x:c>
      <x:c r="K241" s="369" t="n">
        <x:f>IF($A241="","",ABS(W241/(W241+U241)-'02_Constants'!$D$14)/'02_Constants'!$D$14)</x:f>
        <x:v>0.000596002370280213</x:v>
      </x:c>
      <x:c r="L241" s="369" t="n">
        <x:f>IF($A241="","",ABS(W241/U241-'02_Constants'!$D$15)/'02_Constants'!$D$15)</x:f>
        <x:v>0.0015618606463520058</x:v>
      </x:c>
      <x:c r="M241" s="369" t="n">
        <x:f>IF($A241="","",ABS(2*A241/(90-A241)-'02_Constants'!$D$16)/'02_Constants'!$D$16)</x:f>
        <x:v>0.002140190181506075</x:v>
      </x:c>
      <x:c r="N241" s="369" t="n">
        <x:f>IF($A241="","",ABS(2*A241/(90-A241)-1-'02_Constants'!$D$17)/'02_Constants'!$D$17)</x:f>
        <x:v>0.003385731015413047</x:v>
      </x:c>
      <x:c r="O241" s="369" t="n">
        <x:f>IF(A241="","",AVERAGE(C241:N241))</x:f>
        <x:v>0.001085187889037903</x:v>
      </x:c>
      <x:c r="P241" s="369" t="n">
        <x:f>IF(A241="","",SUMPRODUCT(C241:N241,'03_12_Errors'!$P$4:$AA$4)/SUM('03_12_Errors'!$P$4:$AA$4))</x:f>
        <x:v>0.0012134153362861498</x:v>
      </x:c>
      <x:c r="Q241" s="369" t="n">
        <x:f>IF(A241="","",SQRT(SUMSQ(C241:N241)/12))</x:f>
        <x:v>0.0014174797970608007</x:v>
      </x:c>
      <x:c r="R241" s="369" t="n">
        <x:f>IF(A241="","",MAX(C241:N241))</x:f>
        <x:v>0.003385731015413047</x:v>
      </x:c>
      <x:c r="S241" s="390" t="n">
        <x:f>IF(A241="","",COUNTIF(C241:N241,"&lt;="&amp;'00_Start'!$B$7))</x:f>
        <x:v>7</x:v>
      </x:c>
      <x:c r="T241" s="365" t="n">
        <x:f>IF(A241="","",0.5*TAN(RADIANS(A241)))</x:f>
        <x:v>0.6376163391335751</x:v>
      </x:c>
      <x:c r="U241" s="365" t="n">
        <x:f>IF(A241="","",0.5)</x:f>
        <x:v>0.5</x:v>
      </x:c>
      <x:c r="V241" s="365" t="n">
        <x:f>IF(A241="","",SQRT(2))</x:f>
        <x:v>1.4142135623730951</x:v>
      </x:c>
      <x:c r="W241" s="365" t="n">
        <x:f>IF(A241="","",SQRT(T241^2+U241^2))</x:f>
        <x:v>0.8102805661806917</x:v>
      </x:c>
      <x:c r="X241" s="365" t="n">
        <x:f>IF(A241="","",SQRT(T241^2+2*U241^2))</x:f>
        <x:v>0.9521316064127386</x:v>
      </x:c>
      <x:c r="Y241" s="127"/>
      <x:c r="Z241" s="127"/>
      <x:c r="AA241" s="127"/>
      <x:c r="AB241" s="127"/>
      <x:c r="AC241" s="127"/>
      <x:c r="AD241" s="127"/>
      <x:c r="AE241" s="127"/>
      <x:c r="AF241" s="127"/>
      <x:c r="AG241" s="127"/>
      <x:c r="AH241" s="127"/>
      <x:c r="AI241" s="127"/>
      <x:c r="AJ241" s="127"/>
      <x:c r="AK241" s="127"/>
      <x:c r="AL241" s="127"/>
    </x:row>
    <x:row r="242">
      <x:c r="A242" s="367" t="n">
        <x:f>IF(A241="","",IF(A241+'00_Start'!$B$12&lt;='00_Start'!$B$11,A241+'00_Start'!$B$12,""))</x:f>
        <x:v>51.898000000000565</x:v>
      </x:c>
      <x:c r="B242" s="367" t="n">
        <x:f>IF(A242="","",2/TAN(RADIANS(A242)))</x:f>
        <x:v>1.5683130545207116</x:v>
      </x:c>
      <x:c r="C242" s="369" t="n">
        <x:f>IF($A242="","",ABS(2/T242-'02_Constants'!$D$6)/'02_Constants'!$D$6)</x:f>
        <x:v>0.0015809002299183737</x:v>
      </x:c>
      <x:c r="D242" s="369" t="n">
        <x:f>IF($A242="","",ABS(2/(T242+2*V242)-'02_Constants'!$D$7)/'02_Constants'!$D$7)</x:f>
        <x:v>0.00033048923657373125</x:v>
      </x:c>
      <x:c r="E242" s="369" t="n">
        <x:f>IF($A242="","",ABS((T242+2*V242)/2-'02_Constants'!$D$8)/'02_Constants'!$D$8)</x:f>
        <x:v>0.000563871423522083</x:v>
      </x:c>
      <x:c r="F242" s="369" t="n">
        <x:f>IF($A242="","",ABS((T242+2*V242)/V242-'02_Constants'!$D$9)/'02_Constants'!$D$9)</x:f>
        <x:v>0.0005638714235219873</x:v>
      </x:c>
      <x:c r="G242" s="369" t="n">
        <x:f>IF($A242="","",ABS(V242-'02_Constants'!$D$10)/'02_Constants'!$D$10)</x:f>
        <x:v>0</x:v>
      </x:c>
      <x:c r="H242" s="369" t="n">
        <x:f>IF($A242="","",ABS((W242+1)/W242-'02_Constants'!$D$11)/'02_Constants'!$D$11)</x:f>
        <x:v>0.0008681710758183102</x:v>
      </x:c>
      <x:c r="I242" s="369" t="n">
        <x:f>IF($A242="","",ABS((U242+2*V242)/(W242+1)-'02_Constants'!$D$12)/'02_Constants'!$D$12)</x:f>
        <x:v>0.0003647627749918301</x:v>
      </x:c>
      <x:c r="J242" s="369" t="n">
        <x:f>IF($A242="","",ABS(X242/U242-'02_Constants'!$D$13)/'02_Constants'!$D$13)</x:f>
        <x:v>0.0011134588709092053</x:v>
      </x:c>
      <x:c r="K242" s="369" t="n">
        <x:f>IF($A242="","",ABS(W242/(W242+U242)-'02_Constants'!$D$14)/'02_Constants'!$D$14)</x:f>
        <x:v>0.0006002515451409755</x:v>
      </x:c>
      <x:c r="L242" s="369" t="n">
        <x:f>IF($A242="","",ABS(W242/U242-'02_Constants'!$D$15)/'02_Constants'!$D$15)</x:f>
        <x:v>0.0015730066941834818</x:v>
      </x:c>
      <x:c r="M242" s="369" t="n">
        <x:f>IF($A242="","",ABS(2*A242/(90-A242)-'02_Constants'!$D$16)/'02_Constants'!$D$16)</x:f>
        <x:v>0.0021629960587898804</x:v>
      </x:c>
      <x:c r="N242" s="369" t="n">
        <x:f>IF($A242="","",ABS(2*A242/(90-A242)-1-'02_Constants'!$D$17)/'02_Constants'!$D$17)</x:f>
        <x:v>0.0034218093820557473</x:v>
      </x:c>
      <x:c r="O242" s="369" t="n">
        <x:f>IF(A242="","",AVERAGE(C242:N242))</x:f>
        <x:v>0.0010952990596188007</x:v>
      </x:c>
      <x:c r="P242" s="369" t="n">
        <x:f>IF(A242="","",SUMPRODUCT(C242:N242,'03_12_Errors'!$P$4:$AA$4)/SUM('03_12_Errors'!$P$4:$AA$4))</x:f>
        <x:v>0.0012252352881937357</x:v>
      </x:c>
      <x:c r="Q242" s="369" t="n">
        <x:f>IF(A242="","",SQRT(SUMSQ(C242:N242)/12))</x:f>
        <x:v>0.0014315759837776024</x:v>
      </x:c>
      <x:c r="R242" s="369" t="n">
        <x:f>IF(A242="","",MAX(C242:N242))</x:f>
        <x:v>0.0034218093820557473</x:v>
      </x:c>
      <x:c r="S242" s="390" t="n">
        <x:f>IF(A242="","",COUNTIF(C242:N242,"&lt;="&amp;'00_Start'!$B$7))</x:f>
        <x:v>7</x:v>
      </x:c>
      <x:c r="T242" s="365" t="n">
        <x:f>IF(A242="","",0.5*TAN(RADIANS(A242)))</x:f>
        <x:v>0.637627798300517</x:v>
      </x:c>
      <x:c r="U242" s="365" t="n">
        <x:f>IF(A242="","",0.5)</x:f>
        <x:v>0.5</x:v>
      </x:c>
      <x:c r="V242" s="365" t="n">
        <x:f>IF(A242="","",SQRT(2))</x:f>
        <x:v>1.4142135623730951</x:v>
      </x:c>
      <x:c r="W242" s="365" t="n">
        <x:f>IF(A242="","",SQRT(T242^2+U242^2))</x:f>
        <x:v>0.8102895835228074</x:v>
      </x:c>
      <x:c r="X242" s="365" t="n">
        <x:f>IF(A242="","",SQRT(T242^2+2*U242^2))</x:f>
        <x:v>0.9521392803395755</x:v>
      </x:c>
      <x:c r="Y242" s="127"/>
      <x:c r="Z242" s="127"/>
      <x:c r="AA242" s="127"/>
      <x:c r="AB242" s="127"/>
      <x:c r="AC242" s="127"/>
      <x:c r="AD242" s="127"/>
      <x:c r="AE242" s="127"/>
      <x:c r="AF242" s="127"/>
      <x:c r="AG242" s="127"/>
      <x:c r="AH242" s="127"/>
      <x:c r="AI242" s="127"/>
      <x:c r="AJ242" s="127"/>
      <x:c r="AK242" s="127"/>
      <x:c r="AL242" s="127"/>
    </x:row>
    <x:row r="243">
      <x:c r="A243" s="367" t="n">
        <x:f>IF(A242="","",IF(A242+'00_Start'!$B$12&lt;='00_Start'!$B$11,A242+'00_Start'!$B$12,""))</x:f>
        <x:v>51.89850000000057</x:v>
      </x:c>
      <x:c r="B243" s="367" t="n">
        <x:f>IF(A243="","",2/TAN(RADIANS(A243)))</x:f>
        <x:v>1.568284869366024</x:v>
      </x:c>
      <x:c r="C243" s="369" t="n">
        <x:f>IF($A243="","",ABS(2/T243-'02_Constants'!$D$6)/'02_Constants'!$D$6)</x:f>
        <x:v>0.0015988434566796743</x:v>
      </x:c>
      <x:c r="D243" s="369" t="n">
        <x:f>IF($A243="","",ABS(2/(T243+2*V243)-'02_Constants'!$D$7)/'02_Constants'!$D$7)</x:f>
        <x:v>0.00033379431891097396</x:v>
      </x:c>
      <x:c r="E243" s="369" t="n">
        <x:f>IF($A243="","",ABS((T243+2*V243)/2-'02_Constants'!$D$8)/'02_Constants'!$D$8)</x:f>
        <x:v>0.0005671794737092169</x:v>
      </x:c>
      <x:c r="F243" s="369" t="n">
        <x:f>IF($A243="","",ABS((T243+2*V243)/V243-'02_Constants'!$D$9)/'02_Constants'!$D$9)</x:f>
        <x:v>0.000567179473709161</x:v>
      </x:c>
      <x:c r="G243" s="369" t="n">
        <x:f>IF($A243="","",ABS(V243-'02_Constants'!$D$10)/'02_Constants'!$D$10)</x:f>
        <x:v>0</x:v>
      </x:c>
      <x:c r="H243" s="369" t="n">
        <x:f>IF($A243="","",ABS((W243+1)/W243-'02_Constants'!$D$11)/'02_Constants'!$D$11)</x:f>
        <x:v>0.0008743132317521676</x:v>
      </x:c>
      <x:c r="I243" s="369" t="n">
        <x:f>IF($A243="","",ABS((U243+2*V243)/(W243+1)-'02_Constants'!$D$12)/'02_Constants'!$D$12)</x:f>
        <x:v>0.00036974223817890807</x:v>
      </x:c>
      <x:c r="J243" s="369" t="n">
        <x:f>IF($A243="","",ABS(X243/U243-'02_Constants'!$D$13)/'02_Constants'!$D$13)</x:f>
        <x:v>0.0011215277729507466</x:v>
      </x:c>
      <x:c r="K243" s="369" t="n">
        <x:f>IF($A243="","",ABS(W243/(W243+U243)-'02_Constants'!$D$14)/'02_Constants'!$D$14)</x:f>
        <x:v>0.0006045007851689642</x:v>
      </x:c>
      <x:c r="L243" s="369" t="n">
        <x:f>IF($A243="","",ABS(W243/U243-'02_Constants'!$D$15)/'02_Constants'!$D$15)</x:f>
        <x:v>0.001584153066374828</x:v>
      </x:c>
      <x:c r="M243" s="369" t="n">
        <x:f>IF($A243="","",ABS(2*A243/(90-A243)-'02_Constants'!$D$16)/'02_Constants'!$D$16)</x:f>
        <x:v>0.0021858025346294984</x:v>
      </x:c>
      <x:c r="N243" s="369" t="n">
        <x:f>IF($A243="","",ABS(2*A243/(90-A243)-1-'02_Constants'!$D$17)/'02_Constants'!$D$17)</x:f>
        <x:v>0.003457888695599801</x:v>
      </x:c>
      <x:c r="O243" s="369" t="n">
        <x:f>IF(A243="","",AVERAGE(C243:N243))</x:f>
        <x:v>0.0011054104206386617</x:v>
      </x:c>
      <x:c r="P243" s="369" t="n">
        <x:f>IF(A243="","",SUMPRODUCT(C243:N243,'03_12_Errors'!$P$4:$AA$4)/SUM('03_12_Errors'!$P$4:$AA$4))</x:f>
        <x:v>0.0012370554221331805</x:v>
      </x:c>
      <x:c r="Q243" s="369" t="n">
        <x:f>IF(A243="","",SQRT(SUMSQ(C243:N243)/12))</x:f>
        <x:v>0.0014456760454608928</x:v>
      </x:c>
      <x:c r="R243" s="369" t="n">
        <x:f>IF(A243="","",MAX(C243:N243))</x:f>
        <x:v>0.003457888695599801</x:v>
      </x:c>
      <x:c r="S243" s="390" t="n">
        <x:f>IF(A243="","",COUNTIF(C243:N243,"&lt;="&amp;'00_Start'!$B$7))</x:f>
        <x:v>7</x:v>
      </x:c>
      <x:c r="T243" s="365" t="n">
        <x:f>IF(A243="","",0.5*TAN(RADIANS(A243)))</x:f>
        <x:v>0.6376392577225131</x:v>
      </x:c>
      <x:c r="U243" s="365" t="n">
        <x:f>IF(A243="","",0.5)</x:f>
        <x:v>0.5</x:v>
      </x:c>
      <x:c r="V243" s="365" t="n">
        <x:f>IF(A243="","",SQRT(2))</x:f>
        <x:v>1.4142135623730951</x:v>
      </x:c>
      <x:c r="W243" s="365" t="n">
        <x:f>IF(A243="","",SQRT(T243^2+U243^2))</x:f>
        <x:v>0.8102986011273359</x:v>
      </x:c>
      <x:c r="X243" s="365" t="n">
        <x:f>IF(A243="","",SQRT(T243^2+2*U243^2))</x:f>
        <x:v>0.9521469545132817</x:v>
      </x:c>
      <x:c r="Y243" s="127"/>
      <x:c r="Z243" s="127"/>
      <x:c r="AA243" s="127"/>
      <x:c r="AB243" s="127"/>
      <x:c r="AC243" s="127"/>
      <x:c r="AD243" s="127"/>
      <x:c r="AE243" s="127"/>
      <x:c r="AF243" s="127"/>
      <x:c r="AG243" s="127"/>
      <x:c r="AH243" s="127"/>
      <x:c r="AI243" s="127"/>
      <x:c r="AJ243" s="127"/>
      <x:c r="AK243" s="127"/>
      <x:c r="AL243" s="127"/>
    </x:row>
    <x:row r="244">
      <x:c r="A244" s="367" t="n">
        <x:f>IF(A243="","",IF(A243+'00_Start'!$B$12&lt;='00_Start'!$B$11,A243+'00_Start'!$B$12,""))</x:f>
        <x:v>51.89900000000057</x:v>
      </x:c>
      <x:c r="B244" s="367" t="n">
        <x:f>IF(A244="","",2/TAN(RADIANS(A244)))</x:f>
        <x:v>1.5682566845970727</x:v>
      </x:c>
      <x:c r="C244" s="369" t="n">
        <x:f>IF($A244="","",ABS(2/T244-'02_Constants'!$D$6)/'02_Constants'!$D$6)</x:f>
        <x:v>0.0016167864378737406</x:v>
      </x:c>
      <x:c r="D244" s="369" t="n">
        <x:f>IF($A244="","",ABS(2/(T244+2*V244)-'02_Constants'!$D$7)/'02_Constants'!$D$7)</x:f>
        <x:v>0.00033709945295777805</x:v>
      </x:c>
      <x:c r="E244" s="369" t="n">
        <x:f>IF($A244="","",ABS((T244+2*V244)/2-'02_Constants'!$D$8)/'02_Constants'!$D$8)</x:f>
        <x:v>0.0005704875975269766</x:v>
      </x:c>
      <x:c r="F244" s="369" t="n">
        <x:f>IF($A244="","",ABS((T244+2*V244)/V244-'02_Constants'!$D$9)/'02_Constants'!$D$9)</x:f>
        <x:v>0.0005704875975269784</x:v>
      </x:c>
      <x:c r="G244" s="369" t="n">
        <x:f>IF($A244="","",ABS(V244-'02_Constants'!$D$10)/'02_Constants'!$D$10)</x:f>
        <x:v>0</x:v>
      </x:c>
      <x:c r="H244" s="369" t="n">
        <x:f>IF($A244="","",ABS((W244+1)/W244-'02_Constants'!$D$11)/'02_Constants'!$D$11)</x:f>
        <x:v>0.0008804554297163213</x:v>
      </x:c>
      <x:c r="I244" s="369" t="n">
        <x:f>IF($A244="","",ABS((U244+2*V244)/(W244+1)-'02_Constants'!$D$12)/'02_Constants'!$D$12)</x:f>
        <x:v>0.0003747217966640445</x:v>
      </x:c>
      <x:c r="J244" s="369" t="n">
        <x:f>IF($A244="","",ABS(X244/U244-'02_Constants'!$D$13)/'02_Constants'!$D$13)</x:f>
        <x:v>0.0011295969345702847</x:v>
      </x:c>
      <x:c r="K244" s="369" t="n">
        <x:f>IF($A244="","",ABS(W244/(W244+U244)-'02_Constants'!$D$14)/'02_Constants'!$D$14)</x:f>
        <x:v>0.0006087500903652568</x:v>
      </x:c>
      <x:c r="L244" s="369" t="n">
        <x:f>IF($A244="","",ABS(W244/U244-'02_Constants'!$D$15)/'02_Constants'!$D$15)</x:f>
        <x:v>0.0015952997629385323</x:v>
      </x:c>
      <x:c r="M244" s="369" t="n">
        <x:f>IF($A244="","",ABS(2*A244/(90-A244)-'02_Constants'!$D$16)/'02_Constants'!$D$16)</x:f>
        <x:v>0.0022086096090486182</x:v>
      </x:c>
      <x:c r="N244" s="369" t="n">
        <x:f>IF($A244="","",ABS(2*A244/(90-A244)-1-'02_Constants'!$D$17)/'02_Constants'!$D$17)</x:f>
        <x:v>0.0034939689560826836</x:v>
      </x:c>
      <x:c r="O244" s="369" t="n">
        <x:f>IF(A244="","",AVERAGE(C244:N244))</x:f>
        <x:v>0.0011155219721059346</x:v>
      </x:c>
      <x:c r="P244" s="369" t="n">
        <x:f>IF(A244="","",SUMPRODUCT(C244:N244,'03_12_Errors'!$P$4:$AA$4)/SUM('03_12_Errors'!$P$4:$AA$4))</x:f>
        <x:v>0.001248875738114056</x:v>
      </x:c>
      <x:c r="Q244" s="369" t="n">
        <x:f>IF(A244="","",SQRT(SUMSQ(C244:N244)/12))</x:f>
        <x:v>0.0014597798785361046</x:v>
      </x:c>
      <x:c r="R244" s="369" t="n">
        <x:f>IF(A244="","",MAX(C244:N244))</x:f>
        <x:v>0.0034939689560826836</x:v>
      </x:c>
      <x:c r="S244" s="390" t="n">
        <x:f>IF(A244="","",COUNTIF(C244:N244,"&lt;="&amp;'00_Start'!$B$7))</x:f>
        <x:v>7</x:v>
      </x:c>
      <x:c r="T244" s="365" t="n">
        <x:f>IF(A244="","",0.5*TAN(RADIANS(A244)))</x:f>
        <x:v>0.6376507173995735</x:v>
      </x:c>
      <x:c r="U244" s="365" t="n">
        <x:f>IF(A244="","",0.5)</x:f>
        <x:v>0.5</x:v>
      </x:c>
      <x:c r="V244" s="365" t="n">
        <x:f>IF(A244="","",SQRT(2))</x:f>
        <x:v>1.4142135623730951</x:v>
      </x:c>
      <x:c r="W244" s="365" t="n">
        <x:f>IF(A244="","",SQRT(T244^2+U244^2))</x:f>
        <x:v>0.810307618994287</x:v>
      </x:c>
      <x:c r="X244" s="365" t="n">
        <x:f>IF(A244="","",SQRT(T244^2+2*U244^2))</x:f>
        <x:v>0.9521546289338674</x:v>
      </x:c>
      <x:c r="Y244" s="127"/>
      <x:c r="Z244" s="127"/>
      <x:c r="AA244" s="127"/>
      <x:c r="AB244" s="127"/>
      <x:c r="AC244" s="127"/>
      <x:c r="AD244" s="127"/>
      <x:c r="AE244" s="127"/>
      <x:c r="AF244" s="127"/>
      <x:c r="AG244" s="127"/>
      <x:c r="AH244" s="127"/>
      <x:c r="AI244" s="127"/>
      <x:c r="AJ244" s="127"/>
      <x:c r="AK244" s="127"/>
      <x:c r="AL244" s="127"/>
    </x:row>
    <x:row r="245">
      <x:c r="A245" s="367" t="n">
        <x:f>IF(A244="","",IF(A244+'00_Start'!$B$12&lt;='00_Start'!$B$11,A244+'00_Start'!$B$12,""))</x:f>
        <x:v>51.89950000000057</x:v>
      </x:c>
      <x:c r="B245" s="367" t="n">
        <x:f>IF(A245="","",2/TAN(RADIANS(A245)))</x:f>
        <x:v>1.5682285002138443</x:v>
      </x:c>
      <x:c r="C245" s="369" t="n">
        <x:f>IF($A245="","",ABS(2/T245-'02_Constants'!$D$6)/'02_Constants'!$D$6)</x:f>
        <x:v>0.0016347291735089127</x:v>
      </x:c>
      <x:c r="D245" s="369" t="n">
        <x:f>IF($A245="","",ABS(2/(T245+2*V245)-'02_Constants'!$D$7)/'02_Constants'!$D$7)</x:f>
        <x:v>0.0003404046387162593</x:v>
      </x:c>
      <x:c r="E245" s="369" t="n">
        <x:f>IF($A245="","",ABS((T245+2*V245)/2-'02_Constants'!$D$8)/'02_Constants'!$D$8)</x:f>
        <x:v>0.0005737957949785671</x:v>
      </x:c>
      <x:c r="F245" s="369" t="n">
        <x:f>IF($A245="","",ABS((T245+2*V245)/V245-'02_Constants'!$D$9)/'02_Constants'!$D$9)</x:f>
        <x:v>0.0005737957949785217</x:v>
      </x:c>
      <x:c r="G245" s="369" t="n">
        <x:f>IF($A245="","",ABS(V245-'02_Constants'!$D$10)/'02_Constants'!$D$10)</x:f>
        <x:v>0</x:v>
      </x:c>
      <x:c r="H245" s="369" t="n">
        <x:f>IF($A245="","",ABS((W245+1)/W245-'02_Constants'!$D$11)/'02_Constants'!$D$11)</x:f>
        <x:v>0.0008865976697105725</x:v>
      </x:c>
      <x:c r="I245" s="369" t="n">
        <x:f>IF($A245="","",ABS((U245+2*V245)/(W245+1)-'02_Constants'!$D$12)/'02_Constants'!$D$12)</x:f>
        <x:v>0.00037970145044941245</x:v>
      </x:c>
      <x:c r="J245" s="369" t="n">
        <x:f>IF($A245="","",ABS(X245/U245-'02_Constants'!$D$13)/'02_Constants'!$D$13)</x:f>
        <x:v>0.0011376663557784421</x:v>
      </x:c>
      <x:c r="K245" s="369" t="n">
        <x:f>IF($A245="","",ABS(W245/(W245+U245)-'02_Constants'!$D$14)/'02_Constants'!$D$14)</x:f>
        <x:v>0.0006129994607309311</x:v>
      </x:c>
      <x:c r="L245" s="369" t="n">
        <x:f>IF($A245="","",ABS(W245/U245-'02_Constants'!$D$15)/'02_Constants'!$D$15)</x:f>
        <x:v>0.0016064467838873572</x:v>
      </x:c>
      <x:c r="M245" s="369" t="n">
        <x:f>IF($A245="","",ABS(2*A245/(90-A245)-'02_Constants'!$D$16)/'02_Constants'!$D$16)</x:f>
        <x:v>0.0022314172820707646</x:v>
      </x:c>
      <x:c r="N245" s="369" t="n">
        <x:f>IF($A245="","",ABS(2*A245/(90-A245)-1-'02_Constants'!$D$17)/'02_Constants'!$D$17)</x:f>
        <x:v>0.003530050163541611</x:v>
      </x:c>
      <x:c r="O245" s="369" t="n">
        <x:f>IF(A245="","",AVERAGE(C245:N245))</x:f>
        <x:v>0.0011256337140292793</x:v>
      </x:c>
      <x:c r="P245" s="369" t="n">
        <x:f>IF(A245="","",SUMPRODUCT(C245:N245,'03_12_Errors'!$P$4:$AA$4)/SUM('03_12_Errors'!$P$4:$AA$4))</x:f>
        <x:v>0.001260696236146171</x:v>
      </x:c>
      <x:c r="Q245" s="369" t="n">
        <x:f>IF(A245="","",SQRT(SUMSQ(C245:N245)/12))</x:f>
        <x:v>0.0014738873833645186</x:v>
      </x:c>
      <x:c r="R245" s="369" t="n">
        <x:f>IF(A245="","",MAX(C245:N245))</x:f>
        <x:v>0.003530050163541611</x:v>
      </x:c>
      <x:c r="S245" s="390" t="n">
        <x:f>IF(A245="","",COUNTIF(C245:N245,"&lt;="&amp;'00_Start'!$B$7))</x:f>
        <x:v>7</x:v>
      </x:c>
      <x:c r="T245" s="365" t="n">
        <x:f>IF(A245="","",0.5*TAN(RADIANS(A245)))</x:f>
        <x:v>0.6376621773317087</x:v>
      </x:c>
      <x:c r="U245" s="365" t="n">
        <x:f>IF(A245="","",0.5)</x:f>
        <x:v>0.5</x:v>
      </x:c>
      <x:c r="V245" s="365" t="n">
        <x:f>IF(A245="","",SQRT(2))</x:f>
        <x:v>1.4142135623730951</x:v>
      </x:c>
      <x:c r="W245" s="365" t="n">
        <x:f>IF(A245="","",SQRT(T245^2+U245^2))</x:f>
        <x:v>0.8103166371236713</x:v>
      </x:c>
      <x:c r="X245" s="365" t="n">
        <x:f>IF(A245="","",SQRT(T245^2+2*U245^2))</x:f>
        <x:v>0.9521623036013427</x:v>
      </x:c>
      <x:c r="Y245" s="127"/>
      <x:c r="Z245" s="127"/>
      <x:c r="AA245" s="127"/>
      <x:c r="AB245" s="127"/>
      <x:c r="AC245" s="127"/>
      <x:c r="AD245" s="127"/>
      <x:c r="AE245" s="127"/>
      <x:c r="AF245" s="127"/>
      <x:c r="AG245" s="127"/>
      <x:c r="AH245" s="127"/>
      <x:c r="AI245" s="127"/>
      <x:c r="AJ245" s="127"/>
      <x:c r="AK245" s="127"/>
      <x:c r="AL245" s="127"/>
    </x:row>
    <x:row r="246">
      <x:c r="A246" s="373" t="n">
        <x:f>IF(A245="","",IF(A245+'00_Start'!$B$12&lt;='00_Start'!$B$11,A245+'00_Start'!$B$12,""))</x:f>
        <x:v>51.900000000000574</x:v>
      </x:c>
      <x:c r="B246" s="373" t="n">
        <x:f>IF(A246="","",2/TAN(RADIANS(A246)))</x:f>
        <x:v>1.5682003162163276</x:v>
      </x:c>
      <x:c r="C246" s="376" t="n">
        <x:f>IF($A246="","",ABS(2/T246-'02_Constants'!$D$6)/'02_Constants'!$D$6)</x:f>
        <x:v>0.0016526716635923997</x:v>
      </x:c>
      <x:c r="D246" s="376" t="n">
        <x:f>IF($A246="","",ABS(2/(T246+2*V246)-'02_Constants'!$D$7)/'02_Constants'!$D$7)</x:f>
        <x:v>0.0003437098761875717</x:v>
      </x:c>
      <x:c r="E246" s="376" t="n">
        <x:f>IF($A246="","",ABS((T246+2*V246)/2-'02_Constants'!$D$8)/'02_Constants'!$D$8)</x:f>
        <x:v>0.0005771040660668089</x:v>
      </x:c>
      <x:c r="F246" s="376" t="n">
        <x:f>IF($A246="","",ABS((T246+2*V246)/V246-'02_Constants'!$D$9)/'02_Constants'!$D$9)</x:f>
        <x:v>0.0005771040660666917</x:v>
      </x:c>
      <x:c r="G246" s="376" t="n">
        <x:f>IF($A246="","",ABS(V246-'02_Constants'!$D$10)/'02_Constants'!$D$10)</x:f>
        <x:v>0</x:v>
      </x:c>
      <x:c r="H246" s="376" t="n">
        <x:f>IF($A246="","",ABS((W246+1)/W246-'02_Constants'!$D$11)/'02_Constants'!$D$11)</x:f>
        <x:v>0.0008927399517345241</x:v>
      </x:c>
      <x:c r="I246" s="376" t="n">
        <x:f>IF($A246="","",ABS((U246+2*V246)/(W246+1)-'02_Constants'!$D$12)/'02_Constants'!$D$12)</x:f>
        <x:v>0.0003846811995365814</x:v>
      </x:c>
      <x:c r="J246" s="376" t="n">
        <x:f>IF($A246="","",ABS(X246/U246-'02_Constants'!$D$13)/'02_Constants'!$D$13)</x:f>
        <x:v>0.001145736036585725</x:v>
      </x:c>
      <x:c r="K246" s="376" t="n">
        <x:f>IF($A246="","",ABS(W246/(W246+U246)-'02_Constants'!$D$14)/'02_Constants'!$D$14)</x:f>
        <x:v>0.0006172488962663464</x:v>
      </x:c>
      <x:c r="L246" s="376" t="n">
        <x:f>IF($A246="","",ABS(W246/U246-'02_Constants'!$D$15)/'02_Constants'!$D$15)</x:f>
        <x:v>0.001617594129233379</x:v>
      </x:c>
      <x:c r="M246" s="376" t="n">
        <x:f>IF($A246="","",ABS(2*A246/(90-A246)-'02_Constants'!$D$16)/'02_Constants'!$D$16)</x:f>
        <x:v>0.0022542255537194634</x:v>
      </x:c>
      <x:c r="N246" s="376" t="n">
        <x:f>IF($A246="","",ABS(2*A246/(90-A246)-1-'02_Constants'!$D$17)/'02_Constants'!$D$17)</x:f>
        <x:v>0.003566132318013801</x:v>
      </x:c>
      <x:c r="O246" s="376" t="n">
        <x:f>IF(A246="","",AVERAGE(C246:N246))</x:f>
        <x:v>0.001135745646416941</x:v>
      </x:c>
      <x:c r="P246" s="376" t="n">
        <x:f>IF(A246="","",SUMPRODUCT(C246:N246,'03_12_Errors'!$P$4:$AA$4)/SUM('03_12_Errors'!$P$4:$AA$4))</x:f>
        <x:v>0.001272516916238852</x:v>
      </x:c>
      <x:c r="Q246" s="376" t="n">
        <x:f>IF(A246="","",SQRT(SUMSQ(C246:N246)/12))</x:f>
        <x:v>0.001487998464058889</x:v>
      </x:c>
      <x:c r="R246" s="376" t="n">
        <x:f>IF(A246="","",MAX(C246:N246))</x:f>
        <x:v>0.003566132318013801</x:v>
      </x:c>
      <x:c r="S246" s="391" t="n">
        <x:f>IF(A246="","",COUNTIF(C246:N246,"&lt;="&amp;'00_Start'!$B$7))</x:f>
        <x:v>7</x:v>
      </x:c>
      <x:c r="T246" s="374" t="n">
        <x:f>IF(A246="","",0.5*TAN(RADIANS(A246)))</x:f>
        <x:v>0.6376736375189288</x:v>
      </x:c>
      <x:c r="U246" s="374" t="n">
        <x:f>IF(A246="","",0.5)</x:f>
        <x:v>0.5</x:v>
      </x:c>
      <x:c r="V246" s="374" t="n">
        <x:f>IF(A246="","",SQRT(2))</x:f>
        <x:v>1.4142135623730951</x:v>
      </x:c>
      <x:c r="W246" s="374" t="n">
        <x:f>IF(A246="","",SQRT(T246^2+U246^2))</x:f>
        <x:v>0.8103256555154984</x:v>
      </x:c>
      <x:c r="X246" s="374" t="n">
        <x:f>IF(A246="","",SQRT(T246^2+2*U246^2))</x:f>
        <x:v>0.9521699785157176</x:v>
      </x:c>
      <x:c r="Y246" s="127"/>
      <x:c r="Z246" s="127"/>
      <x:c r="AA246" s="127"/>
      <x:c r="AB246" s="127"/>
      <x:c r="AC246" s="127"/>
      <x:c r="AD246" s="127"/>
      <x:c r="AE246" s="127"/>
      <x:c r="AF246" s="127"/>
      <x:c r="AG246" s="127"/>
      <x:c r="AH246" s="127"/>
      <x:c r="AI246" s="127"/>
      <x:c r="AJ246" s="127"/>
      <x:c r="AK246" s="127"/>
      <x:c r="AL246" s="127"/>
    </x:row>
  </x:sheetData>
  <x:mergeCells>
    <x:mergeCell ref="A1:X2"/>
    <x:mergeCell ref="A3:X3"/>
  </x:mergeCells>
  <x:conditionalFormatting sqref="C6:N246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drawing xmlns:r="http://schemas.openxmlformats.org/officeDocument/2006/relationships" r:id="Rde0115d9e4a04be5"/>
  <x:tableParts count="1">
    <x:tablePart xmlns:r="http://schemas.openxmlformats.org/officeDocument/2006/relationships" r:id="Rc467a8abf38f44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7" hidden="0" customWidth="1"/>
    <x:col min="5" max="5" width="12" hidden="0" customWidth="1"/>
    <x:col min="6" max="6" width="16" hidden="0" customWidth="1"/>
    <x:col min="7" max="7" width="22" hidden="0" customWidth="1"/>
    <x:col min="8" max="8" width="16" hidden="0" customWidth="1"/>
    <x:col min="9" max="9" width="29" hidden="0" customWidth="1"/>
    <x:col min="10" max="10" width="54" hidden="0" customWidth="1"/>
  </x:cols>
  <x:sheetData>
    <x:row r="1" ht="30" customHeight="1">
      <x:c r="A1" s="126" t="str">
        <x:v>Laboratory for new relations</x:v>
      </x:c>
      <x:c r="B1" s="127"/>
      <x:c r="C1" s="127"/>
      <x:c r="D1" s="127"/>
      <x:c r="E1" s="127"/>
      <x:c r="F1" s="127"/>
      <x:c r="G1" s="127"/>
      <x:c r="H1" s="127"/>
      <x:c r="I1" s="127"/>
      <x:c r="J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 ht="34" customHeight="1">
      <x:c r="A3" s="128" t="str">
        <x:v>Select a model and analyze natural quantities and simple combinations. The nearest constant is found automatically in the full catalogue; a very small error is not, by itself, evidence of intentionality.</x:v>
      </x:c>
      <x:c r="B3" s="127"/>
      <x:c r="C3" s="127"/>
      <x:c r="D3" s="127"/>
      <x:c r="E3" s="127"/>
      <x:c r="F3" s="127"/>
      <x:c r="G3" s="127"/>
      <x:c r="H3" s="127"/>
      <x:c r="I3" s="127"/>
      <x:c r="J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</x:row>
    <x:row r="5" ht="32" customHeight="1">
      <x:c r="A5" s="396" t="str">
        <x:v>Active model</x:v>
      </x:c>
      <x:c r="B5" s="397" t="str">
        <x:v>11:7</x:v>
      </x:c>
      <x:c r="C5" s="127"/>
      <x:c r="D5" s="149" t="str">
        <x:v>Discovery rule: prefer relations that are (1) dimensionless, (2) use few terms, (3) derive from natural lengths/areas/angles, (4) remain stable within the uncertainty band, and (5) are algebraically independent. Only then assess numerical error. The adjacent matrix performs many trials, so chance matches are expected.</x:v>
      </x:c>
      <x:c r="E5" s="127"/>
      <x:c r="F5" s="127"/>
      <x:c r="G5" s="127"/>
      <x:c r="H5" s="127"/>
      <x:c r="I5" s="127"/>
      <x:c r="J5" s="127"/>
    </x:row>
    <x:row r="6">
      <x:c r="A6" s="127"/>
      <x:c r="B6" s="127"/>
      <x:c r="C6" s="127"/>
      <x:c r="D6" s="127"/>
      <x:c r="E6" s="127"/>
      <x:c r="F6" s="127"/>
      <x:c r="G6" s="127"/>
      <x:c r="H6" s="127"/>
      <x:c r="I6" s="127"/>
      <x:c r="J6" s="127"/>
    </x:row>
    <x:row r="7">
      <x:c r="A7" s="127" t="str">
        <x:v>B/H</x:v>
      </x:c>
      <x:c r="B7" s="398" t="n">
        <x:f>INDEX('01_Models'!$D$6:$D$13,MATCH(B5,'01_Models'!$B$6:$B$13,0))</x:f>
        <x:v>1.5714285714285714</x:v>
      </x:c>
      <x:c r="C7" s="127"/>
      <x:c r="D7" s="127"/>
      <x:c r="E7" s="127"/>
      <x:c r="F7" s="127"/>
      <x:c r="G7" s="127"/>
      <x:c r="H7" s="127"/>
      <x:c r="I7" s="127"/>
      <x:c r="J7" s="127"/>
    </x:row>
    <x:row r="8">
      <x:c r="A8" s="127" t="str">
        <x:v>Angle [°]</x:v>
      </x:c>
      <x:c r="B8" s="399" t="n">
        <x:f>DEGREES(ATAN(2/B7))</x:f>
        <x:v>51.84277341263095</x:v>
      </x:c>
      <x:c r="C8" s="127"/>
      <x:c r="D8" s="127"/>
      <x:c r="E8" s="127"/>
      <x:c r="F8" s="127"/>
      <x:c r="G8" s="127"/>
      <x:c r="H8" s="127"/>
      <x:c r="I8" s="127"/>
      <x:c r="J8" s="127"/>
    </x:row>
    <x:row r="9">
      <x:c r="A9" s="127" t="str">
        <x:v>B (normalized)</x:v>
      </x:c>
      <x:c r="B9" s="398" t="n">
        <x:v>1</x:v>
      </x:c>
      <x:c r="C9" s="127"/>
      <x:c r="D9" s="127"/>
      <x:c r="E9" s="127"/>
      <x:c r="F9" s="127"/>
      <x:c r="G9" s="127"/>
      <x:c r="H9" s="127"/>
      <x:c r="I9" s="127"/>
      <x:c r="J9" s="127"/>
    </x:row>
    <x:row r="10">
      <x:c r="A10" s="127" t="str">
        <x:v>A/B</x:v>
      </x:c>
      <x:c r="B10" s="398" t="n">
        <x:v>0.5</x:v>
      </x:c>
      <x:c r="C10" s="127"/>
      <x:c r="D10" s="127"/>
      <x:c r="E10" s="127"/>
      <x:c r="F10" s="127"/>
      <x:c r="G10" s="127"/>
      <x:c r="H10" s="127"/>
      <x:c r="I10" s="127"/>
      <x:c r="J10" s="127"/>
    </x:row>
    <x:row r="11">
      <x:c r="A11" s="127" t="str">
        <x:v>H/B</x:v>
      </x:c>
      <x:c r="B11" s="398" t="n">
        <x:f>1/B7</x:f>
        <x:v>0.6363636363636364</x:v>
      </x:c>
      <x:c r="C11" s="127"/>
      <x:c r="D11" s="127"/>
      <x:c r="E11" s="127"/>
      <x:c r="F11" s="127"/>
      <x:c r="G11" s="127"/>
      <x:c r="H11" s="127"/>
      <x:c r="I11" s="127"/>
      <x:c r="J11" s="127"/>
    </x:row>
    <x:row r="12">
      <x:c r="A12" s="127" t="str">
        <x:v>D/B</x:v>
      </x:c>
      <x:c r="B12" s="398" t="n">
        <x:f>SQRT(2)</x:f>
        <x:v>1.4142135623730951</x:v>
      </x:c>
      <x:c r="C12" s="127"/>
      <x:c r="D12" s="127"/>
      <x:c r="E12" s="127"/>
      <x:c r="F12" s="127"/>
      <x:c r="G12" s="127"/>
      <x:c r="H12" s="127"/>
      <x:c r="I12" s="127"/>
      <x:c r="J12" s="127"/>
    </x:row>
    <x:row r="13">
      <x:c r="A13" s="127" t="str">
        <x:v>S/B</x:v>
      </x:c>
      <x:c r="B13" s="398" t="n">
        <x:f>SQRT(B11^2+B10^2)</x:f>
        <x:v>0.8092951733984025</x:v>
      </x:c>
      <x:c r="C13" s="127"/>
      <x:c r="D13" s="127"/>
      <x:c r="E13" s="127"/>
      <x:c r="F13" s="127"/>
      <x:c r="G13" s="127"/>
      <x:c r="H13" s="127"/>
      <x:c r="I13" s="127"/>
      <x:c r="J13" s="127"/>
    </x:row>
    <x:row r="14">
      <x:c r="A14" s="127" t="str">
        <x:v>E/B</x:v>
      </x:c>
      <x:c r="B14" s="398" t="n">
        <x:f>SQRT(B11^2+2*B10^2)</x:f>
        <x:v>0.9512931607480158</x:v>
      </x:c>
      <x:c r="C14" s="127"/>
      <x:c r="D14" s="127"/>
      <x:c r="E14" s="127"/>
      <x:c r="F14" s="127"/>
      <x:c r="G14" s="127"/>
      <x:c r="H14" s="127"/>
      <x:c r="I14" s="127"/>
      <x:c r="J14" s="127"/>
    </x:row>
    <x:row r="15">
      <x:c r="A15" s="127" t="str">
        <x:v>Solid angle Ω [sr]</x:v>
      </x:c>
      <x:c r="B15" s="398" t="n">
        <x:f>4*ATAN(B10^2/(B11*B14))</x:f>
        <x:v>1.5665544433019862</x:v>
      </x:c>
      <x:c r="C15" s="127"/>
      <x:c r="D15" s="127"/>
      <x:c r="E15" s="127"/>
      <x:c r="F15" s="127"/>
      <x:c r="G15" s="127"/>
      <x:c r="H15" s="127"/>
      <x:c r="I15" s="127"/>
      <x:c r="J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</x:row>
    <x:row r="18">
      <x:c r="A18" s="143" t="str">
        <x:v>RELATION CATALOGUE</x:v>
      </x:c>
      <x:c r="B18" s="144"/>
      <x:c r="C18" s="144"/>
      <x:c r="D18" s="144"/>
      <x:c r="E18" s="144"/>
      <x:c r="F18" s="144"/>
      <x:c r="G18" s="144"/>
      <x:c r="H18" s="144"/>
      <x:c r="I18" s="144"/>
      <x:c r="J18" s="145"/>
    </x:row>
    <x:row r="19" ht="32" customHeight="1">
      <x:c r="A19" s="129" t="str">
        <x:v>ID</x:v>
      </x:c>
      <x:c r="B19" s="150" t="str">
        <x:v>Relation</x:v>
      </x:c>
      <x:c r="C19" s="150" t="str">
        <x:v>Expression</x:v>
      </x:c>
      <x:c r="D19" s="150" t="str">
        <x:v>Type</x:v>
      </x:c>
      <x:c r="E19" s="150" t="str">
        <x:v>Complexity</x:v>
      </x:c>
      <x:c r="F19" s="150" t="str">
        <x:v>Value</x:v>
      </x:c>
      <x:c r="G19" s="150" t="str">
        <x:v>Nearest constant</x:v>
      </x:c>
      <x:c r="H19" s="150" t="str">
        <x:v>Relative error</x:v>
      </x:c>
      <x:c r="I19" s="150" t="str">
        <x:v>Preliminary assessment</x:v>
      </x:c>
      <x:c r="J19" s="130" t="str">
        <x:v>Comment</x:v>
      </x:c>
    </x:row>
    <x:row r="20">
      <x:c r="A20" s="131" t="n">
        <x:v>1</x:v>
      </x:c>
      <x:c r="B20" s="131" t="str">
        <x:v>π from perimeter and height</x:v>
      </x:c>
      <x:c r="C20" s="131" t="str">
        <x:v>2B/H</x:v>
      </x:c>
      <x:c r="D20" s="131" t="str">
        <x:v>natural</x:v>
      </x:c>
      <x:c r="E20" s="131" t="n">
        <x:v>1</x:v>
      </x:c>
      <x:c r="F20" s="355" t="n">
        <x:f>2*B9/B11</x:f>
        <x:v>3.142857142857143</x:v>
      </x:c>
      <x:c r="G20" s="358" t="str">
        <x:f>INDEX('02_Constants'!$B$6:$B$33,MATCH(H20,'07_Matrix'!C6:AD6,0))</x:f>
        <x:v>Pi</x:v>
      </x:c>
      <x:c r="H20" s="359" t="n">
        <x:f>MIN('07_Matrix'!C6:AD6)</x:f>
        <x:v>0.0004024994347707008</x:v>
      </x:c>
      <x:c r="I20" s="358" t="str">
        <x:f>IF(AND(H20&lt;='00_Start'!$B$7,E20&lt;=2),"numerically strong / simple",IF(H20&lt;='00_Start'!$B$7,"candidate — multiple testing",IF(H20&lt;=5*'00_Start'!$B$7,"close","weak")))</x:f>
        <x:v>numerically strong / simple</x:v>
      </x:c>
      <x:c r="J20" s="131" t="str">
        <x:v>Classical π relation.</x:v>
      </x:c>
    </x:row>
    <x:row r="21">
      <x:c r="A21" s="135" t="n">
        <x:v>2</x:v>
      </x:c>
      <x:c r="B21" s="135" t="str">
        <x:v>Euler–Mascheroni</x:v>
      </x:c>
      <x:c r="C21" s="135" t="str">
        <x:v>2B/(H+2D)</x:v>
      </x:c>
      <x:c r="D21" s="135" t="str">
        <x:v>combined</x:v>
      </x:c>
      <x:c r="E21" s="135" t="n">
        <x:v>3</x:v>
      </x:c>
      <x:c r="F21" s="365" t="n">
        <x:f>2*B9/(B11+2*B12)</x:f>
        <x:v>0.5772354343727726</x:v>
      </x:c>
      <x:c r="G21" s="368" t="str">
        <x:f>INDEX('02_Constants'!$B$6:$B$33,MATCH(H21,'07_Matrix'!C7:AD7,0))</x:f>
        <x:v>Euler–Mascheroni</x:v>
      </x:c>
      <x:c r="H21" s="369" t="n">
        <x:f>MIN('07_Matrix'!C7:AD7)</x:f>
        <x:v>0.00003424971365440888</x:v>
      </x:c>
      <x:c r="I21" s="368" t="str">
        <x:f>IF(AND(H21&lt;='00_Start'!$B$7,E21&lt;=2),"numerically strong / simple",IF(H21&lt;='00_Start'!$B$7,"candidate — multiple testing",IF(H21&lt;=5*'00_Start'!$B$7,"close","weak")))</x:f>
        <x:v>candidate — multiple testing</x:v>
      </x:c>
      <x:c r="J21" s="135" t="str">
        <x:v>One of the 12 source relations.</x:v>
      </x:c>
    </x:row>
    <x:row r="22">
      <x:c r="A22" s="135" t="n">
        <x:v>3</x:v>
      </x:c>
      <x:c r="B22" s="135" t="str">
        <x:v>√3</x:v>
      </x:c>
      <x:c r="C22" s="135" t="str">
        <x:v>(H+2D)/(2B)</x:v>
      </x:c>
      <x:c r="D22" s="135" t="str">
        <x:v>combined</x:v>
      </x:c>
      <x:c r="E22" s="135" t="n">
        <x:v>3</x:v>
      </x:c>
      <x:c r="F22" s="365" t="n">
        <x:f>(B11+2*B12)/(2*B9)</x:f>
        <x:v>1.7323953805549133</x:v>
      </x:c>
      <x:c r="G22" s="368" t="str">
        <x:f>INDEX('02_Constants'!$B$6:$B$33,MATCH(H22,'07_Matrix'!C8:AD8,0))</x:f>
        <x:v>Square root of 3</x:v>
      </x:c>
      <x:c r="H22" s="369" t="n">
        <x:f>MIN('07_Matrix'!C8:AD8)</x:f>
        <x:v>0.00019893930624340024</x:v>
      </x:c>
      <x:c r="I22" s="368" t="str">
        <x:f>IF(AND(H22&lt;='00_Start'!$B$7,E22&lt;=2),"numerically strong / simple",IF(H22&lt;='00_Start'!$B$7,"candidate — multiple testing",IF(H22&lt;=5*'00_Start'!$B$7,"close","weak")))</x:f>
        <x:v>candidate — multiple testing</x:v>
      </x:c>
      <x:c r="J22" s="135" t="str">
        <x:v>Reciprocal of the preceding model value.</x:v>
      </x:c>
    </x:row>
    <x:row r="23">
      <x:c r="A23" s="135" t="n">
        <x:v>4</x:v>
      </x:c>
      <x:c r="B23" s="135" t="str">
        <x:v>√6</x:v>
      </x:c>
      <x:c r="C23" s="135" t="str">
        <x:v>(H+2D)/D</x:v>
      </x:c>
      <x:c r="D23" s="135" t="str">
        <x:v>combined</x:v>
      </x:c>
      <x:c r="E23" s="135" t="n">
        <x:v>3</x:v>
      </x:c>
      <x:c r="F23" s="365" t="n">
        <x:f>(B11+2*B12)/B12</x:f>
        <x:v>2.4499770425732574</x:v>
      </x:c>
      <x:c r="G23" s="368" t="str">
        <x:f>INDEX('02_Constants'!$B$6:$B$33,MATCH(H23,'07_Matrix'!C9:AD9,0))</x:f>
        <x:v>Square root of 6</x:v>
      </x:c>
      <x:c r="H23" s="369" t="n">
        <x:f>MIN('07_Matrix'!C9:AD9)</x:f>
        <x:v>0.00019893930624337723</x:v>
      </x:c>
      <x:c r="I23" s="368" t="str">
        <x:f>IF(AND(H23&lt;='00_Start'!$B$7,E23&lt;=2),"numerically strong / simple",IF(H23&lt;='00_Start'!$B$7,"candidate — multiple testing",IF(H23&lt;=5*'00_Start'!$B$7,"close","weak")))</x:f>
        <x:v>candidate — multiple testing</x:v>
      </x:c>
      <x:c r="J23" s="135" t="str">
        <x:v>Related to √3 and √2.</x:v>
      </x:c>
    </x:row>
    <x:row r="24">
      <x:c r="A24" s="135" t="n">
        <x:v>5</x:v>
      </x:c>
      <x:c r="B24" s="135" t="str">
        <x:v>base √2</x:v>
      </x:c>
      <x:c r="C24" s="135" t="str">
        <x:v>D/B</x:v>
      </x:c>
      <x:c r="D24" s="135" t="str">
        <x:v>structural</x:v>
      </x:c>
      <x:c r="E24" s="135" t="n">
        <x:v>1</x:v>
      </x:c>
      <x:c r="F24" s="365" t="n">
        <x:f>B12/B9</x:f>
        <x:v>1.4142135623730951</x:v>
      </x:c>
      <x:c r="G24" s="368" t="str">
        <x:f>INDEX('02_Constants'!$B$6:$B$33,MATCH(H24,'07_Matrix'!C10:AD10,0))</x:f>
        <x:v>Square root of 2</x:v>
      </x:c>
      <x:c r="H24" s="369" t="n">
        <x:f>MIN('07_Matrix'!C10:AD10)</x:f>
        <x:v>0</x:v>
      </x:c>
      <x:c r="I24" s="368" t="str">
        <x:f>IF(AND(H24&lt;='00_Start'!$B$7,E24&lt;=2),"numerically strong / simple",IF(H24&lt;='00_Start'!$B$7,"candidate — multiple testing",IF(H24&lt;=5*'00_Start'!$B$7,"close","weak")))</x:f>
        <x:v>numerically strong / simple</x:v>
      </x:c>
      <x:c r="J24" s="135" t="str">
        <x:v>Independent of angle.</x:v>
      </x:c>
    </x:row>
    <x:row r="25">
      <x:c r="A25" s="135" t="n">
        <x:v>6</x:v>
      </x:c>
      <x:c r="B25" s="135" t="str">
        <x:v>√5</x:v>
      </x:c>
      <x:c r="C25" s="135" t="str">
        <x:v>(S+B)/S</x:v>
      </x:c>
      <x:c r="D25" s="135" t="str">
        <x:v>combined</x:v>
      </x:c>
      <x:c r="E25" s="135" t="n">
        <x:v>2</x:v>
      </x:c>
      <x:c r="F25" s="365" t="n">
        <x:f>(B13+B9)/B13</x:f>
        <x:v>2.235643103863807</x:v>
      </x:c>
      <x:c r="G25" s="368" t="str">
        <x:f>INDEX('02_Constants'!$B$6:$B$33,MATCH(H25,'07_Matrix'!C11:AD11,0))</x:f>
        <x:v>Square root of 5</x:v>
      </x:c>
      <x:c r="H25" s="369" t="n">
        <x:f>MIN('07_Matrix'!C11:AD11)</x:f>
        <x:v>0.00019000926638103948</x:v>
      </x:c>
      <x:c r="I25" s="368" t="str">
        <x:f>IF(AND(H25&lt;='00_Start'!$B$7,E25&lt;=2),"numerically strong / simple",IF(H25&lt;='00_Start'!$B$7,"candidate — multiple testing",IF(H25&lt;=5*'00_Start'!$B$7,"close","weak")))</x:f>
        <x:v>numerically strong / simple</x:v>
      </x:c>
      <x:c r="J25" s="135" t="str">
        <x:v>Derived from the φ family.</x:v>
      </x:c>
    </x:row>
    <x:row r="26">
      <x:c r="A26" s="135" t="n">
        <x:v>7</x:v>
      </x:c>
      <x:c r="B26" s="135" t="str">
        <x:v>Tribonacci</x:v>
      </x:c>
      <x:c r="C26" s="135" t="str">
        <x:v>(A+2D)/(S+B)</x:v>
      </x:c>
      <x:c r="D26" s="135" t="str">
        <x:v>combined</x:v>
      </x:c>
      <x:c r="E26" s="135" t="n">
        <x:v>4</x:v>
      </x:c>
      <x:c r="F26" s="365" t="n">
        <x:f>(B10+2*B12)/(B13+B9)</x:f>
        <x:v>1.8396263769909913</x:v>
      </x:c>
      <x:c r="G26" s="368" t="str">
        <x:f>INDEX('02_Constants'!$B$6:$B$33,MATCH(H26,'07_Matrix'!C12:AD12,0))</x:f>
        <x:v>Tribonacci constant</x:v>
      </x:c>
      <x:c r="H26" s="369" t="n">
        <x:f>MIN('07_Matrix'!C12:AD12)</x:f>
        <x:v>0.00018464862853361324</x:v>
      </x:c>
      <x:c r="I26" s="368" t="str">
        <x:f>IF(AND(H26&lt;='00_Start'!$B$7,E26&lt;=2),"numerically strong / simple",IF(H26&lt;='00_Start'!$B$7,"candidate — multiple testing",IF(H26&lt;=5*'00_Start'!$B$7,"close","weak")))</x:f>
        <x:v>candidate — multiple testing</x:v>
      </x:c>
      <x:c r="J26" s="135" t="str">
        <x:v>One of the 12 source relations.</x:v>
      </x:c>
    </x:row>
    <x:row r="27">
      <x:c r="A27" s="135" t="n">
        <x:v>8</x:v>
      </x:c>
      <x:c r="B27" s="135" t="str">
        <x:v>Brun B₂</x:v>
      </x:c>
      <x:c r="C27" s="135" t="str">
        <x:v>E/A</x:v>
      </x:c>
      <x:c r="D27" s="135" t="str">
        <x:v>natural</x:v>
      </x:c>
      <x:c r="E27" s="135" t="n">
        <x:v>1</x:v>
      </x:c>
      <x:c r="F27" s="365" t="n">
        <x:f>B14/B10</x:f>
        <x:v>1.9025863214960317</x:v>
      </x:c>
      <x:c r="G27" s="368" t="str">
        <x:f>INDEX('02_Constants'!$B$6:$B$33,MATCH(H27,'07_Matrix'!C13:AD13,0))</x:f>
        <x:v>Brun's constant B₂</x:v>
      </x:c>
      <x:c r="H27" s="369" t="n">
        <x:f>MIN('07_Matrix'!C13:AD13)</x:f>
        <x:v>0.00022381832312858997</x:v>
      </x:c>
      <x:c r="I27" s="368" t="str">
        <x:f>IF(AND(H27&lt;='00_Start'!$B$7,E27&lt;=2),"numerically strong / simple",IF(H27&lt;='00_Start'!$B$7,"candidate — multiple testing",IF(H27&lt;=5*'00_Start'!$B$7,"close","weak")))</x:f>
        <x:v>numerically strong / simple</x:v>
      </x:c>
      <x:c r="J27" s="135" t="str">
        <x:v>Lateral edge / half-base.</x:v>
      </x:c>
    </x:row>
    <x:row r="28">
      <x:c r="A28" s="135" t="n">
        <x:v>9</x:v>
      </x:c>
      <x:c r="B28" s="135" t="str">
        <x:v>1/φ</x:v>
      </x:c>
      <x:c r="C28" s="135" t="str">
        <x:v>S/(S+A)</x:v>
      </x:c>
      <x:c r="D28" s="135" t="str">
        <x:v>combined</x:v>
      </x:c>
      <x:c r="E28" s="135" t="n">
        <x:v>2</x:v>
      </x:c>
      <x:c r="F28" s="365" t="n">
        <x:f>B13/(B13+B10)</x:f>
        <x:v>0.6181151430489112</x:v>
      </x:c>
      <x:c r="G28" s="368" t="str">
        <x:f>INDEX('02_Constants'!$B$6:$B$33,MATCH(H28,'07_Matrix'!C14:AD14,0))</x:f>
        <x:v>Reciprocal of φ</x:v>
      </x:c>
      <x:c r="H28" s="369" t="n">
        <x:f>MIN('07_Matrix'!C14:AD14)</x:f>
        <x:v>0.0001313104141416093</x:v>
      </x:c>
      <x:c r="I28" s="368" t="str">
        <x:f>IF(AND(H28&lt;='00_Start'!$B$7,E28&lt;=2),"numerically strong / simple",IF(H28&lt;='00_Start'!$B$7,"candidate — multiple testing",IF(H28&lt;=5*'00_Start'!$B$7,"close","weak")))</x:f>
        <x:v>numerically strong / simple</x:v>
      </x:c>
      <x:c r="J28" s="135" t="str">
        <x:v>Derived from S/A.</x:v>
      </x:c>
    </x:row>
    <x:row r="29">
      <x:c r="A29" s="135" t="n">
        <x:v>10</x:v>
      </x:c>
      <x:c r="B29" s="135" t="str">
        <x:v>φ</x:v>
      </x:c>
      <x:c r="C29" s="135" t="str">
        <x:v>S/A</x:v>
      </x:c>
      <x:c r="D29" s="135" t="str">
        <x:v>natural</x:v>
      </x:c>
      <x:c r="E29" s="135" t="n">
        <x:v>1</x:v>
      </x:c>
      <x:c r="F29" s="365" t="n">
        <x:f>B13/B10</x:f>
        <x:v>1.618590346796805</x:v>
      </x:c>
      <x:c r="G29" s="368" t="str">
        <x:f>INDEX('02_Constants'!$B$6:$B$33,MATCH(H29,'07_Matrix'!C15:AD15,0))</x:f>
        <x:v>Golden ratio</x:v>
      </x:c>
      <x:c r="H29" s="369" t="n">
        <x:f>MIN('07_Matrix'!C15:AD15)</x:f>
        <x:v>0.0003438481829049635</x:v>
      </x:c>
      <x:c r="I29" s="368" t="str">
        <x:f>IF(AND(H29&lt;='00_Start'!$B$7,E29&lt;=2),"numerically strong / simple",IF(H29&lt;='00_Start'!$B$7,"candidate — multiple testing",IF(H29&lt;=5*'00_Start'!$B$7,"close","weak")))</x:f>
        <x:v>numerically strong / simple</x:v>
      </x:c>
      <x:c r="J29" s="135" t="str">
        <x:v>The most natural golden-ratio relation.</x:v>
      </x:c>
    </x:row>
    <x:row r="30">
      <x:c r="A30" s="135" t="n">
        <x:v>11</x:v>
      </x:c>
      <x:c r="B30" s="135" t="str">
        <x:v>e from angles</x:v>
      </x:c>
      <x:c r="C30" s="135" t="str">
        <x:v>2θ/(90°−θ)</x:v>
      </x:c>
      <x:c r="D30" s="135" t="str">
        <x:v>angular</x:v>
      </x:c>
      <x:c r="E30" s="135" t="n">
        <x:v>2</x:v>
      </x:c>
      <x:c r="F30" s="365" t="n">
        <x:f>2*B8/(90-B8)</x:f>
        <x:v>2.7173239802387594</x:v>
      </x:c>
      <x:c r="G30" s="368" t="str">
        <x:f>INDEX('02_Constants'!$B$6:$B$33,MATCH(H30,'07_Matrix'!C16:AD16,0))</x:f>
        <x:v>Euler's number e</x:v>
      </x:c>
      <x:c r="H30" s="369" t="n">
        <x:f>MIN('07_Matrix'!C16:AD16)</x:f>
        <x:v>0.00035237266800574994</x:v>
      </x:c>
      <x:c r="I30" s="368" t="str">
        <x:f>IF(AND(H30&lt;='00_Start'!$B$7,E30&lt;=2),"numerically strong / simple",IF(H30&lt;='00_Start'!$B$7,"candidate — multiple testing",IF(H30&lt;=5*'00_Start'!$B$7,"close","weak")))</x:f>
        <x:v>numerically strong / simple</x:v>
      </x:c>
      <x:c r="J30" s="135" t="str">
        <x:v>Depends on expressing the angle in degrees.</x:v>
      </x:c>
    </x:row>
    <x:row r="31">
      <x:c r="A31" s="135" t="n">
        <x:v>12</x:v>
      </x:c>
      <x:c r="B31" s="135" t="str">
        <x:v>e−1</x:v>
      </x:c>
      <x:c r="C31" s="135" t="str">
        <x:v>e_model−1</x:v>
      </x:c>
      <x:c r="D31" s="135" t="str">
        <x:v>derived</x:v>
      </x:c>
      <x:c r="E31" s="135" t="n">
        <x:v>2</x:v>
      </x:c>
      <x:c r="F31" s="365" t="n">
        <x:f>2*B8/(90-B8)-1</x:f>
        <x:v>1.7173239802387594</x:v>
      </x:c>
      <x:c r="G31" s="368" t="str">
        <x:f>INDEX('02_Constants'!$B$6:$B$33,MATCH(H31,'07_Matrix'!C17:AD17,0))</x:f>
        <x:v>e − 1</x:v>
      </x:c>
      <x:c r="H31" s="369" t="n">
        <x:f>MIN('07_Matrix'!C17:AD17)</x:f>
        <x:v>0.0005574453529224948</x:v>
      </x:c>
      <x:c r="I31" s="368" t="str">
        <x:f>IF(AND(H31&lt;='00_Start'!$B$7,E31&lt;=2),"numerically strong / simple",IF(H31&lt;='00_Start'!$B$7,"candidate — multiple testing",IF(H31&lt;=5*'00_Start'!$B$7,"close","weak")))</x:f>
        <x:v>numerically strong / simple</x:v>
      </x:c>
      <x:c r="J31" s="135" t="str">
        <x:v>Not an independent discovery.</x:v>
      </x:c>
    </x:row>
    <x:row r="32">
      <x:c r="A32" s="135" t="n">
        <x:v>13</x:v>
      </x:c>
      <x:c r="B32" s="135" t="str">
        <x:v>B/H ratio</x:v>
      </x:c>
      <x:c r="C32" s="135" t="str">
        <x:v>B/H</x:v>
      </x:c>
      <x:c r="D32" s="135" t="str">
        <x:v>natural</x:v>
      </x:c>
      <x:c r="E32" s="135" t="n">
        <x:v>1</x:v>
      </x:c>
      <x:c r="F32" s="365" t="n">
        <x:f>B7</x:f>
        <x:v>1.5714285714285714</x:v>
      </x:c>
      <x:c r="G32" s="368" t="str">
        <x:f>INDEX('02_Constants'!$B$6:$B$33,MATCH(H32,'07_Matrix'!C18:AD18,0))</x:f>
        <x:v>Golden ratio</x:v>
      </x:c>
      <x:c r="H32" s="369" t="n">
        <x:f>MIN('07_Matrix'!C18:AD18)</x:f>
        <x:v>0.028803731964451004</x:v>
      </x:c>
      <x:c r="I32" s="368" t="str">
        <x:f>IF(AND(H32&lt;='00_Start'!$B$7,E32&lt;=2),"numerically strong / simple",IF(H32&lt;='00_Start'!$B$7,"candidate — multiple testing",IF(H32&lt;=5*'00_Start'!$B$7,"close","weak")))</x:f>
        <x:v>weak</x:v>
      </x:c>
      <x:c r="J32" s="135" t="str">
        <x:v>Primary shape parameter.</x:v>
      </x:c>
    </x:row>
    <x:row r="33">
      <x:c r="A33" s="135" t="n">
        <x:v>14</x:v>
      </x:c>
      <x:c r="B33" s="135" t="str">
        <x:v>Slenderness H/B</x:v>
      </x:c>
      <x:c r="C33" s="135" t="str">
        <x:v>H/B</x:v>
      </x:c>
      <x:c r="D33" s="135" t="str">
        <x:v>natural</x:v>
      </x:c>
      <x:c r="E33" s="135" t="n">
        <x:v>1</x:v>
      </x:c>
      <x:c r="F33" s="365" t="n">
        <x:f>B11/B9</x:f>
        <x:v>0.6363636363636364</x:v>
      </x:c>
      <x:c r="G33" s="368" t="str">
        <x:f>INDEX('02_Constants'!$B$6:$B$33,MATCH(H33,'07_Matrix'!C19:AD19,0))</x:f>
        <x:v>Reciprocal of φ</x:v>
      </x:c>
      <x:c r="H33" s="369" t="n">
        <x:f>MIN('07_Matrix'!C19:AD19)</x:f>
        <x:v>0.02965799284084207</x:v>
      </x:c>
      <x:c r="I33" s="368" t="str">
        <x:f>IF(AND(H33&lt;='00_Start'!$B$7,E33&lt;=2),"numerically strong / simple",IF(H33&lt;='00_Start'!$B$7,"candidate — multiple testing",IF(H33&lt;=5*'00_Start'!$B$7,"close","weak")))</x:f>
        <x:v>weak</x:v>
      </x:c>
      <x:c r="J33" s="135" t="str">
        <x:v>Reciprocal of the primary parameter.</x:v>
      </x:c>
    </x:row>
    <x:row r="34">
      <x:c r="A34" s="135" t="n">
        <x:v>15</x:v>
      </x:c>
      <x:c r="B34" s="135" t="str">
        <x:v>Height / half-base</x:v>
      </x:c>
      <x:c r="C34" s="135" t="str">
        <x:v>H/A</x:v>
      </x:c>
      <x:c r="D34" s="135" t="str">
        <x:v>natural</x:v>
      </x:c>
      <x:c r="E34" s="135" t="n">
        <x:v>1</x:v>
      </x:c>
      <x:c r="F34" s="365" t="n">
        <x:f>B11/B10</x:f>
        <x:v>1.2727272727272727</x:v>
      </x:c>
      <x:c r="G34" s="368" t="str">
        <x:f>INDEX('02_Constants'!$B$6:$B$33,MATCH(H34,'07_Matrix'!C20:AD20,0))</x:f>
        <x:v>Square root of φ</x:v>
      </x:c>
      <x:c r="H34" s="369" t="n">
        <x:f>MIN('07_Matrix'!C20:AD20)</x:f>
        <x:v>0.0005562989639932417</x:v>
      </x:c>
      <x:c r="I34" s="368" t="str">
        <x:f>IF(AND(H34&lt;='00_Start'!$B$7,E34&lt;=2),"numerically strong / simple",IF(H34&lt;='00_Start'!$B$7,"candidate — multiple testing",IF(H34&lt;=5*'00_Start'!$B$7,"close","weak")))</x:f>
        <x:v>numerically strong / simple</x:v>
      </x:c>
      <x:c r="J34" s="135" t="str">
        <x:v>Tangent of the face slope angle.</x:v>
      </x:c>
    </x:row>
    <x:row r="35">
      <x:c r="A35" s="135" t="n">
        <x:v>16</x:v>
      </x:c>
      <x:c r="B35" s="135" t="str">
        <x:v>Half-base / height</x:v>
      </x:c>
      <x:c r="C35" s="135" t="str">
        <x:v>A/H</x:v>
      </x:c>
      <x:c r="D35" s="135" t="str">
        <x:v>natural</x:v>
      </x:c>
      <x:c r="E35" s="135" t="n">
        <x:v>1</x:v>
      </x:c>
      <x:c r="F35" s="365" t="n">
        <x:f>B10/B11</x:f>
        <x:v>0.7857142857142857</x:v>
      </x:c>
      <x:c r="G35" s="368" t="str">
        <x:f>INDEX('02_Constants'!$B$6:$B$33,MATCH(H35,'07_Matrix'!C21:AD21,0))</x:f>
        <x:v>e / π</x:v>
      </x:c>
      <x:c r="H35" s="369" t="n">
        <x:f>MIN('07_Matrix'!C21:AD21)</x:f>
        <x:v>0.0919285108785615</x:v>
      </x:c>
      <x:c r="I35" s="368" t="str">
        <x:f>IF(AND(H35&lt;='00_Start'!$B$7,E35&lt;=2),"numerically strong / simple",IF(H35&lt;='00_Start'!$B$7,"candidate — multiple testing",IF(H35&lt;=5*'00_Start'!$B$7,"close","weak")))</x:f>
        <x:v>weak</x:v>
      </x:c>
      <x:c r="J35" s="135" t="str">
        <x:v>Seked at unit scale.</x:v>
      </x:c>
    </x:row>
    <x:row r="36">
      <x:c r="A36" s="135" t="n">
        <x:v>17</x:v>
      </x:c>
      <x:c r="B36" s="135" t="str">
        <x:v>Slant height / height</x:v>
      </x:c>
      <x:c r="C36" s="135" t="str">
        <x:v>S/H</x:v>
      </x:c>
      <x:c r="D36" s="135" t="str">
        <x:v>natural</x:v>
      </x:c>
      <x:c r="E36" s="135" t="n">
        <x:v>1</x:v>
      </x:c>
      <x:c r="F36" s="365" t="n">
        <x:f>B13/B11</x:f>
        <x:v>1.2717495581974896</x:v>
      </x:c>
      <x:c r="G36" s="368" t="str">
        <x:f>INDEX('02_Constants'!$B$6:$B$33,MATCH(H36,'07_Matrix'!C22:AD22,0))</x:f>
        <x:v>Square root of φ</x:v>
      </x:c>
      <x:c r="H36" s="369" t="n">
        <x:f>MIN('07_Matrix'!C22:AD22)</x:f>
        <x:v>0.000212332660649213</x:v>
      </x:c>
      <x:c r="I36" s="368" t="str">
        <x:f>IF(AND(H36&lt;='00_Start'!$B$7,E36&lt;=2),"numerically strong / simple",IF(H36&lt;='00_Start'!$B$7,"candidate — multiple testing",IF(H36&lt;=5*'00_Start'!$B$7,"close","weak")))</x:f>
        <x:v>numerically strong / simple</x:v>
      </x:c>
      <x:c r="J36" s="135" t="str">
        <x:v>Equals √φ in the φ model.</x:v>
      </x:c>
    </x:row>
    <x:row r="37">
      <x:c r="A37" s="135" t="n">
        <x:v>18</x:v>
      </x:c>
      <x:c r="B37" s="135" t="str">
        <x:v>Lateral edge / slant height</x:v>
      </x:c>
      <x:c r="C37" s="135" t="str">
        <x:v>E/S</x:v>
      </x:c>
      <x:c r="D37" s="135" t="str">
        <x:v>natural</x:v>
      </x:c>
      <x:c r="E37" s="135" t="n">
        <x:v>1</x:v>
      </x:c>
      <x:c r="F37" s="365" t="n">
        <x:f>B14/B13</x:f>
        <x:v>1.1754588338310898</x:v>
      </x:c>
      <x:c r="G37" s="368" t="str">
        <x:f>INDEX('02_Constants'!$B$6:$B$33,MATCH(H37,'07_Matrix'!C23:AD23,0))</x:f>
        <x:v>π / e</x:v>
      </x:c>
      <x:c r="H37" s="369" t="n">
        <x:f>MIN('07_Matrix'!C23:AD23)</x:f>
        <x:v>0.01707278454882777</x:v>
      </x:c>
      <x:c r="I37" s="368" t="str">
        <x:f>IF(AND(H37&lt;='00_Start'!$B$7,E37&lt;=2),"numerically strong / simple",IF(H37&lt;='00_Start'!$B$7,"candidate — multiple testing",IF(H37&lt;=5*'00_Start'!$B$7,"close","weak")))</x:f>
        <x:v>weak</x:v>
      </x:c>
      <x:c r="J37" s="135" t="str">
        <x:v>Comparison of two slopes.</x:v>
      </x:c>
    </x:row>
    <x:row r="38">
      <x:c r="A38" s="135" t="n">
        <x:v>19</x:v>
      </x:c>
      <x:c r="B38" s="135" t="str">
        <x:v>Lateral area / base area</x:v>
      </x:c>
      <x:c r="C38" s="135" t="str">
        <x:v>2S/B</x:v>
      </x:c>
      <x:c r="D38" s="135" t="str">
        <x:v>area</x:v>
      </x:c>
      <x:c r="E38" s="135" t="n">
        <x:v>1</x:v>
      </x:c>
      <x:c r="F38" s="365" t="n">
        <x:f>2*B13/B9</x:f>
        <x:v>1.618590346796805</x:v>
      </x:c>
      <x:c r="G38" s="368" t="str">
        <x:f>INDEX('02_Constants'!$B$6:$B$33,MATCH(H38,'07_Matrix'!C24:AD24,0))</x:f>
        <x:v>Golden ratio</x:v>
      </x:c>
      <x:c r="H38" s="369" t="n">
        <x:f>MIN('07_Matrix'!C24:AD24)</x:f>
        <x:v>0.0003438481829049635</x:v>
      </x:c>
      <x:c r="I38" s="368" t="str">
        <x:f>IF(AND(H38&lt;='00_Start'!$B$7,E38&lt;=2),"numerically strong / simple",IF(H38&lt;='00_Start'!$B$7,"candidate — multiple testing",IF(H38&lt;=5*'00_Start'!$B$7,"close","weak")))</x:f>
        <x:v>numerically strong / simple</x:v>
      </x:c>
      <x:c r="J38" s="135" t="str">
        <x:v>Algebraically equal to S/A.</x:v>
      </x:c>
    </x:row>
    <x:row r="39">
      <x:c r="A39" s="135" t="n">
        <x:v>20</x:v>
      </x:c>
      <x:c r="B39" s="135" t="str">
        <x:v>Total area / base area</x:v>
      </x:c>
      <x:c r="C39" s="135" t="str">
        <x:v>1+2S/B</x:v>
      </x:c>
      <x:c r="D39" s="135" t="str">
        <x:v>area</x:v>
      </x:c>
      <x:c r="E39" s="135" t="n">
        <x:v>2</x:v>
      </x:c>
      <x:c r="F39" s="365" t="n">
        <x:f>1+2*B13/B9</x:f>
        <x:v>2.618590346796805</x:v>
      </x:c>
      <x:c r="G39" s="368" t="str">
        <x:f>INDEX('02_Constants'!$B$6:$B$33,MATCH(H39,'07_Matrix'!C25:AD25,0))</x:f>
        <x:v>φ²</x:v>
      </x:c>
      <x:c r="H39" s="369" t="n">
        <x:f>MIN('07_Matrix'!C25:AD25)</x:f>
        <x:v>0.00021250986400507318</x:v>
      </x:c>
      <x:c r="I39" s="368" t="str">
        <x:f>IF(AND(H39&lt;='00_Start'!$B$7,E39&lt;=2),"numerically strong / simple",IF(H39&lt;='00_Start'!$B$7,"candidate — multiple testing",IF(H39&lt;=5*'00_Start'!$B$7,"close","weak")))</x:f>
        <x:v>numerically strong / simple</x:v>
      </x:c>
      <x:c r="J39" s="135" t="str">
        <x:v>Derived from the φ relation.</x:v>
      </x:c>
    </x:row>
    <x:row r="40">
      <x:c r="A40" s="135" t="n">
        <x:v>21</x:v>
      </x:c>
      <x:c r="B40" s="135" t="str">
        <x:v>Volume / B³</x:v>
      </x:c>
      <x:c r="C40" s="135" t="str">
        <x:v>H/(3B)</x:v>
      </x:c>
      <x:c r="D40" s="135" t="str">
        <x:v>volume</x:v>
      </x:c>
      <x:c r="E40" s="135" t="n">
        <x:v>2</x:v>
      </x:c>
      <x:c r="F40" s="365" t="n">
        <x:f>B11/(3*B9)</x:f>
        <x:v>0.21212121212121213</x:v>
      </x:c>
      <x:c r="G40" s="368" t="str">
        <x:f>INDEX('02_Constants'!$B$6:$B$33,MATCH(H40,'07_Matrix'!C26:AD26,0))</x:f>
        <x:v>Omega constant</x:v>
      </x:c>
      <x:c r="H40" s="369" t="n">
        <x:f>MIN('07_Matrix'!C26:AD26)</x:f>
        <x:v>0.6259830351374764</x:v>
      </x:c>
      <x:c r="I40" s="368" t="str">
        <x:f>IF(AND(H40&lt;='00_Start'!$B$7,E40&lt;=2),"numerically strong / simple",IF(H40&lt;='00_Start'!$B$7,"candidate — multiple testing",IF(H40&lt;=5*'00_Start'!$B$7,"close","weak")))</x:f>
        <x:v>weak</x:v>
      </x:c>
      <x:c r="J40" s="135" t="str">
        <x:v>Natural scale quantity.</x:v>
      </x:c>
    </x:row>
    <x:row r="41">
      <x:c r="A41" s="135" t="n">
        <x:v>22</x:v>
      </x:c>
      <x:c r="B41" s="135" t="str">
        <x:v>Solid angle / π</x:v>
      </x:c>
      <x:c r="C41" s="135" t="str">
        <x:v>Ω/π</x:v>
      </x:c>
      <x:c r="D41" s="135" t="str">
        <x:v>solid angle</x:v>
      </x:c>
      <x:c r="E41" s="135" t="n">
        <x:v>2</x:v>
      </x:c>
      <x:c r="F41" s="365" t="n">
        <x:f>B15/PI()</x:f>
        <x:v>0.49864976654816684</x:v>
      </x:c>
      <x:c r="G41" s="368" t="str">
        <x:f>INDEX('02_Constants'!$B$6:$B$33,MATCH(H41,'07_Matrix'!C27:AD27,0))</x:f>
        <x:v>Omega constant</x:v>
      </x:c>
      <x:c r="H41" s="369" t="n">
        <x:f>MIN('07_Matrix'!C27:AD27)</x:f>
        <x:v>0.12076934527802978</x:v>
      </x:c>
      <x:c r="I41" s="368" t="str">
        <x:f>IF(AND(H41&lt;='00_Start'!$B$7,E41&lt;=2),"numerically strong / simple",IF(H41&lt;='00_Start'!$B$7,"candidate — multiple testing",IF(H41&lt;=5*'00_Start'!$B$7,"close","weak")))</x:f>
        <x:v>weak</x:v>
      </x:c>
      <x:c r="J41" s="135" t="str">
        <x:v>Natural quantity; does not use degrees.</x:v>
      </x:c>
    </x:row>
    <x:row r="42">
      <x:c r="A42" s="135" t="n">
        <x:v>23</x:v>
      </x:c>
      <x:c r="B42" s="135" t="str">
        <x:v>Face apex angle / π</x:v>
      </x:c>
      <x:c r="C42" s="135" t="str">
        <x:v>2asin(B/2E)/π</x:v>
      </x:c>
      <x:c r="D42" s="135" t="str">
        <x:v>angle</x:v>
      </x:c>
      <x:c r="E42" s="135" t="n">
        <x:v>3</x:v>
      </x:c>
      <x:c r="F42" s="365" t="n">
        <x:f>2*ASIN(B9/(2*B14))/PI()</x:f>
        <x:v>0.35231851139881015</x:v>
      </x:c>
      <x:c r="G42" s="368" t="str">
        <x:f>INDEX('02_Constants'!$B$6:$B$33,MATCH(H42,'07_Matrix'!C28:AD28,0))</x:f>
        <x:v>Omega constant</x:v>
      </x:c>
      <x:c r="H42" s="369" t="n">
        <x:f>MIN('07_Matrix'!C28:AD28)</x:f>
        <x:v>0.378783955736749</x:v>
      </x:c>
      <x:c r="I42" s="368" t="str">
        <x:f>IF(AND(H42&lt;='00_Start'!$B$7,E42&lt;=2),"numerically strong / simple",IF(H42&lt;='00_Start'!$B$7,"candidate — multiple testing",IF(H42&lt;=5*'00_Start'!$B$7,"close","weak")))</x:f>
        <x:v>weak</x:v>
      </x:c>
      <x:c r="J42" s="135" t="str">
        <x:v>Natural angle of the face triangle.</x:v>
      </x:c>
    </x:row>
    <x:row r="43">
      <x:c r="A43" s="135" t="n">
        <x:v>24</x:v>
      </x:c>
      <x:c r="B43" s="135" t="str">
        <x:v>Dihedral angle / π</x:v>
      </x:c>
      <x:c r="C43" s="135" t="str">
        <x:v>acos(−A²/S²)/π</x:v>
      </x:c>
      <x:c r="D43" s="135" t="str">
        <x:v>angle</x:v>
      </x:c>
      <x:c r="E43" s="135" t="n">
        <x:v>3</x:v>
      </x:c>
      <x:c r="F43" s="365" t="n">
        <x:f>ACOS(-B10^2/B13^2)/PI()</x:f>
        <x:v>0.37533755836295835</x:v>
      </x:c>
      <x:c r="G43" s="368" t="str">
        <x:f>INDEX('02_Constants'!$B$6:$B$33,MATCH(H43,'07_Matrix'!C29:AD29,0))</x:f>
        <x:v>Omega constant</x:v>
      </x:c>
      <x:c r="H43" s="369" t="n">
        <x:f>MIN('07_Matrix'!C29:AD29)</x:f>
        <x:v>0.3381962465045442</x:v>
      </x:c>
      <x:c r="I43" s="368" t="str">
        <x:f>IF(AND(H43&lt;='00_Start'!$B$7,E43&lt;=2),"numerically strong / simple",IF(H43&lt;='00_Start'!$B$7,"candidate — multiple testing",IF(H43&lt;=5*'00_Start'!$B$7,"close","weak")))</x:f>
        <x:v>weak</x:v>
      </x:c>
      <x:c r="J43" s="135" t="str">
        <x:v>Angle between adjacent faces.</x:v>
      </x:c>
    </x:row>
    <x:row r="44">
      <x:c r="A44" s="135" t="n">
        <x:v>25</x:v>
      </x:c>
      <x:c r="B44" s="135" t="str">
        <x:v>√π lead</x:v>
      </x:c>
      <x:c r="C44" s="135" t="str">
        <x:v>(A+2H)/B</x:v>
      </x:c>
      <x:c r="D44" s="135" t="str">
        <x:v>exploratory</x:v>
      </x:c>
      <x:c r="E44" s="135" t="n">
        <x:v>3</x:v>
      </x:c>
      <x:c r="F44" s="365" t="n">
        <x:f>(B10+2*B11)/B9</x:f>
        <x:v>1.7727272727272727</x:v>
      </x:c>
      <x:c r="G44" s="368" t="str">
        <x:f>INDEX('02_Constants'!$B$6:$B$33,MATCH(H44,'07_Matrix'!C30:AD30,0))</x:f>
        <x:v>Square root of pi</x:v>
      </x:c>
      <x:c r="H44" s="369" t="n">
        <x:f>MIN('07_Matrix'!C30:AD30)</x:f>
        <x:v>0.00015426174374985206</x:v>
      </x:c>
      <x:c r="I44" s="368" t="str">
        <x:f>IF(AND(H44&lt;='00_Start'!$B$7,E44&lt;=2),"numerically strong / simple",IF(H44&lt;='00_Start'!$B$7,"candidate — multiple testing",IF(H44&lt;=5*'00_Start'!$B$7,"close","weak")))</x:f>
        <x:v>candidate — multiple testing</x:v>
      </x:c>
      <x:c r="J44" s="135" t="str">
        <x:v>Approx. 0.015% error for 11:7; arbitrary combination.</x:v>
      </x:c>
    </x:row>
    <x:row r="45">
      <x:c r="A45" s="135" t="n">
        <x:v>26</x:v>
      </x:c>
      <x:c r="B45" s="135" t="str">
        <x:v>2/√π lead</x:v>
      </x:c>
      <x:c r="C45" s="135" t="str">
        <x:v>2B/(A+2H)</x:v>
      </x:c>
      <x:c r="D45" s="135" t="str">
        <x:v>exploratory</x:v>
      </x:c>
      <x:c r="E45" s="135" t="n">
        <x:v>3</x:v>
      </x:c>
      <x:c r="F45" s="365" t="n">
        <x:f>2*B9/(B10+2*B11)</x:f>
        <x:v>1.1282051282051282</x:v>
      </x:c>
      <x:c r="G45" s="368" t="str">
        <x:f>INDEX('02_Constants'!$B$6:$B$33,MATCH(H45,'07_Matrix'!C31:AD31,0))</x:f>
        <x:v>2 / √π</x:v>
      </x:c>
      <x:c r="H45" s="369" t="n">
        <x:f>MIN('07_Matrix'!C31:AD31)</x:f>
        <x:v>0.0001542379507345452</x:v>
      </x:c>
      <x:c r="I45" s="368" t="str">
        <x:f>IF(AND(H45&lt;='00_Start'!$B$7,E45&lt;=2),"numerically strong / simple",IF(H45&lt;='00_Start'!$B$7,"candidate — multiple testing",IF(H45&lt;=5*'00_Start'!$B$7,"close","weak")))</x:f>
        <x:v>candidate — multiple testing</x:v>
      </x:c>
      <x:c r="J45" s="135" t="str">
        <x:v>Reciprocal pair of the previous lead.</x:v>
      </x:c>
    </x:row>
    <x:row r="46">
      <x:c r="A46" s="135" t="n">
        <x:v>27</x:v>
      </x:c>
      <x:c r="B46" s="135" t="str">
        <x:v>Apéry lead</x:v>
      </x:c>
      <x:c r="C46" s="135" t="str">
        <x:v>(B+2E)/(B+D)</x:v>
      </x:c>
      <x:c r="D46" s="135" t="str">
        <x:v>exploratory</x:v>
      </x:c>
      <x:c r="E46" s="135" t="n">
        <x:v>4</x:v>
      </x:c>
      <x:c r="F46" s="365" t="n">
        <x:f>(B9+2*B14)/(B9+B12)</x:f>
        <x:v>1.2022906203222892</x:v>
      </x:c>
      <x:c r="G46" s="368" t="str">
        <x:f>INDEX('02_Constants'!$B$6:$B$33,MATCH(H46,'07_Matrix'!C32:AD32,0))</x:f>
        <x:v>Apéry's constant</x:v>
      </x:c>
      <x:c r="H46" s="369" t="n">
        <x:f>MIN('07_Matrix'!C32:AD32)</x:f>
        <x:v>0.0001944310307447461</x:v>
      </x:c>
      <x:c r="I46" s="368" t="str">
        <x:f>IF(AND(H46&lt;='00_Start'!$B$7,E46&lt;=2),"numerically strong / simple",IF(H46&lt;='00_Start'!$B$7,"candidate — multiple testing",IF(H46&lt;=5*'00_Start'!$B$7,"close","weak")))</x:f>
        <x:v>candidate — multiple testing</x:v>
      </x:c>
      <x:c r="J46" s="135" t="str">
        <x:v>Approx. 0.019% error for 11:7; multiple-testing caveat.</x:v>
      </x:c>
    </x:row>
    <x:row r="47">
      <x:c r="A47" s="135" t="n">
        <x:v>28</x:v>
      </x:c>
      <x:c r="B47" s="135" t="str">
        <x:v>Conway lead</x:v>
      </x:c>
      <x:c r="C47" s="135" t="str">
        <x:v>(2B+D)/(B+2S)</x:v>
      </x:c>
      <x:c r="D47" s="135" t="str">
        <x:v>exploratory</x:v>
      </x:c>
      <x:c r="E47" s="135" t="n">
        <x:v>4</x:v>
      </x:c>
      <x:c r="F47" s="365" t="n">
        <x:f>(2*B9+B12)/(B9+2*B13)</x:f>
        <x:v>1.303836457867317</x:v>
      </x:c>
      <x:c r="G47" s="368" t="str">
        <x:f>INDEX('02_Constants'!$B$6:$B$33,MATCH(H47,'07_Matrix'!C33:AD33,0))</x:f>
        <x:v>Conway's constant</x:v>
      </x:c>
      <x:c r="H47" s="369" t="n">
        <x:f>MIN('07_Matrix'!C33:AD33)</x:f>
        <x:v>0.00019882889889067849</x:v>
      </x:c>
      <x:c r="I47" s="368" t="str">
        <x:f>IF(AND(H47&lt;='00_Start'!$B$7,E47&lt;=2),"numerically strong / simple",IF(H47&lt;='00_Start'!$B$7,"candidate — multiple testing",IF(H47&lt;=5*'00_Start'!$B$7,"close","weak")))</x:f>
        <x:v>candidate — multiple testing</x:v>
      </x:c>
      <x:c r="J47" s="135" t="str">
        <x:v>Approx. 0.020% error for 11:7; multiple-testing caveat.</x:v>
      </x:c>
    </x:row>
    <x:row r="48">
      <x:c r="A48" s="135" t="n">
        <x:v>29</x:v>
      </x:c>
      <x:c r="B48" s="135" t="str">
        <x:v>Catalan lead</x:v>
      </x:c>
      <x:c r="C48" s="135" t="str">
        <x:v>(2H+S)/(2H+B)</x:v>
      </x:c>
      <x:c r="D48" s="135" t="str">
        <x:v>exploratory</x:v>
      </x:c>
      <x:c r="E48" s="135" t="n">
        <x:v>4</x:v>
      </x:c>
      <x:c r="F48" s="365" t="n">
        <x:f>(2*B11+B13)/(2*B11+B9)</x:f>
        <x:v>0.9160898762952973</x:v>
      </x:c>
      <x:c r="G48" s="368" t="str">
        <x:f>INDEX('02_Constants'!$B$6:$B$33,MATCH(H48,'07_Matrix'!C34:AD34,0))</x:f>
        <x:v>Catalan's constant</x:v>
      </x:c>
      <x:c r="H48" s="369" t="n">
        <x:f>MIN('07_Matrix'!C34:AD34)</x:f>
        <x:v>0.00013568426463647185</x:v>
      </x:c>
      <x:c r="I48" s="368" t="str">
        <x:f>IF(AND(H48&lt;='00_Start'!$B$7,E48&lt;=2),"numerically strong / simple",IF(H48&lt;='00_Start'!$B$7,"candidate — multiple testing",IF(H48&lt;=5*'00_Start'!$B$7,"close","weak")))</x:f>
        <x:v>candidate — multiple testing</x:v>
      </x:c>
      <x:c r="J48" s="135" t="str">
        <x:v>Approx. 0.014% error for 11:7; multiple-testing caveat.</x:v>
      </x:c>
    </x:row>
    <x:row r="49">
      <x:c r="A49" s="135" t="n">
        <x:v>30</x:v>
      </x:c>
      <x:c r="B49" s="135" t="str">
        <x:v>√7 lead</x:v>
      </x:c>
      <x:c r="C49" s="135" t="str">
        <x:v>(H+2D)/(A+S)</x:v>
      </x:c>
      <x:c r="D49" s="135" t="str">
        <x:v>exploratory</x:v>
      </x:c>
      <x:c r="E49" s="135" t="n">
        <x:v>4</x:v>
      </x:c>
      <x:c r="F49" s="365" t="n">
        <x:f>(B11+2*B12)/(B10+B13)</x:f>
        <x:v>2.646302248343761</x:v>
      </x:c>
      <x:c r="G49" s="368" t="str">
        <x:f>INDEX('02_Constants'!$B$6:$B$33,MATCH(H49,'07_Matrix'!C35:AD35,0))</x:f>
        <x:v>Square root of 7</x:v>
      </x:c>
      <x:c r="H49" s="369" t="n">
        <x:f>MIN('07_Matrix'!C35:AD35)</x:f>
        <x:v>0.00020823471838275016</x:v>
      </x:c>
      <x:c r="I49" s="368" t="str">
        <x:f>IF(AND(H49&lt;='00_Start'!$B$7,E49&lt;=2),"numerically strong / simple",IF(H49&lt;='00_Start'!$B$7,"candidate — multiple testing",IF(H49&lt;=5*'00_Start'!$B$7,"close","weak")))</x:f>
        <x:v>candidate — multiple testing</x:v>
      </x:c>
      <x:c r="J49" s="135" t="str">
        <x:v>Approx. 0.021% error for 11:7; multiple-testing caveat.</x:v>
      </x:c>
    </x:row>
    <x:row r="50">
      <x:c r="A50" s="135" t="n">
        <x:v>31</x:v>
      </x:c>
      <x:c r="B50" s="135" t="str">
        <x:v>Custom relation 1</x:v>
      </x:c>
      <x:c r="C50" s="400" t="str">
        <x:v>enter a formula in F</x:v>
      </x:c>
      <x:c r="D50" s="401" t="str">
        <x:v>custom</x:v>
      </x:c>
      <x:c r="E50" s="401"/>
      <x:c r="F50" s="402"/>
      <x:c r="G50" s="135" t="str">
        <x:f>IF(H50="","",INDEX('02_Constants'!$B$6:$B$33,MATCH(H50,'07_Matrix'!C36:AD36,0)))</x:f>
      </x:c>
      <x:c r="H50" s="156" t="str">
        <x:f>IF(ISNUMBER(F50),MIN('07_Matrix'!C36:AD36),"")</x:f>
      </x:c>
      <x:c r="I50" s="135" t="str">
        <x:f>IF(H50="","","requires review")</x:f>
      </x:c>
      <x:c r="J50" s="135" t="str">
        <x:v>Use cells B9:B15 as normalized geometry.</x:v>
      </x:c>
    </x:row>
    <x:row r="51">
      <x:c r="A51" s="135" t="n">
        <x:v>32</x:v>
      </x:c>
      <x:c r="B51" s="135" t="str">
        <x:v>Custom relation 2</x:v>
      </x:c>
      <x:c r="C51" s="403" t="str">
        <x:v>enter a formula in F</x:v>
      </x:c>
      <x:c r="D51" s="404" t="str">
        <x:v>custom</x:v>
      </x:c>
      <x:c r="E51" s="404"/>
      <x:c r="F51" s="405"/>
      <x:c r="G51" s="135" t="str">
        <x:f>IF(H51="","",INDEX('02_Constants'!$B$6:$B$33,MATCH(H51,'07_Matrix'!C37:AD37,0)))</x:f>
      </x:c>
      <x:c r="H51" s="156" t="str">
        <x:f>IF(ISNUMBER(F51),MIN('07_Matrix'!C37:AD37),"")</x:f>
      </x:c>
      <x:c r="I51" s="135" t="str">
        <x:f>IF(H51="","","requires review")</x:f>
      </x:c>
      <x:c r="J51" s="135" t="str">
        <x:v>Use cells B9:B15 as normalized geometry.</x:v>
      </x:c>
    </x:row>
    <x:row r="52">
      <x:c r="A52" s="135" t="n">
        <x:v>33</x:v>
      </x:c>
      <x:c r="B52" s="135" t="str">
        <x:v>Custom relation 3</x:v>
      </x:c>
      <x:c r="C52" s="403" t="str">
        <x:v>enter a formula in F</x:v>
      </x:c>
      <x:c r="D52" s="404" t="str">
        <x:v>custom</x:v>
      </x:c>
      <x:c r="E52" s="404"/>
      <x:c r="F52" s="405"/>
      <x:c r="G52" s="135" t="str">
        <x:f>IF(H52="","",INDEX('02_Constants'!$B$6:$B$33,MATCH(H52,'07_Matrix'!C38:AD38,0)))</x:f>
      </x:c>
      <x:c r="H52" s="156" t="str">
        <x:f>IF(ISNUMBER(F52),MIN('07_Matrix'!C38:AD38),"")</x:f>
      </x:c>
      <x:c r="I52" s="135" t="str">
        <x:f>IF(H52="","","requires review")</x:f>
      </x:c>
      <x:c r="J52" s="135" t="str">
        <x:v>Use cells B9:B15 as normalized geometry.</x:v>
      </x:c>
    </x:row>
    <x:row r="53">
      <x:c r="A53" s="135" t="n">
        <x:v>34</x:v>
      </x:c>
      <x:c r="B53" s="135" t="str">
        <x:v>Custom relation 4</x:v>
      </x:c>
      <x:c r="C53" s="403" t="str">
        <x:v>enter a formula in F</x:v>
      </x:c>
      <x:c r="D53" s="404" t="str">
        <x:v>custom</x:v>
      </x:c>
      <x:c r="E53" s="404"/>
      <x:c r="F53" s="405"/>
      <x:c r="G53" s="135" t="str">
        <x:f>IF(H53="","",INDEX('02_Constants'!$B$6:$B$33,MATCH(H53,'07_Matrix'!C39:AD39,0)))</x:f>
      </x:c>
      <x:c r="H53" s="156" t="str">
        <x:f>IF(ISNUMBER(F53),MIN('07_Matrix'!C39:AD39),"")</x:f>
      </x:c>
      <x:c r="I53" s="135" t="str">
        <x:f>IF(H53="","","requires review")</x:f>
      </x:c>
      <x:c r="J53" s="135" t="str">
        <x:v>Use cells B9:B15 as normalized geometry.</x:v>
      </x:c>
    </x:row>
    <x:row r="54">
      <x:c r="A54" s="135" t="n">
        <x:v>35</x:v>
      </x:c>
      <x:c r="B54" s="135" t="str">
        <x:v>Custom relation 5</x:v>
      </x:c>
      <x:c r="C54" s="403" t="str">
        <x:v>enter a formula in F</x:v>
      </x:c>
      <x:c r="D54" s="404" t="str">
        <x:v>custom</x:v>
      </x:c>
      <x:c r="E54" s="404"/>
      <x:c r="F54" s="405"/>
      <x:c r="G54" s="135" t="str">
        <x:f>IF(H54="","",INDEX('02_Constants'!$B$6:$B$33,MATCH(H54,'07_Matrix'!C40:AD40,0)))</x:f>
      </x:c>
      <x:c r="H54" s="156" t="str">
        <x:f>IF(ISNUMBER(F54),MIN('07_Matrix'!C40:AD40),"")</x:f>
      </x:c>
      <x:c r="I54" s="135" t="str">
        <x:f>IF(H54="","","requires review")</x:f>
      </x:c>
      <x:c r="J54" s="135" t="str">
        <x:v>Use cells B9:B15 as normalized geometry.</x:v>
      </x:c>
    </x:row>
    <x:row r="55">
      <x:c r="A55" s="135" t="n">
        <x:v>36</x:v>
      </x:c>
      <x:c r="B55" s="135" t="str">
        <x:v>Custom relation 6</x:v>
      </x:c>
      <x:c r="C55" s="403" t="str">
        <x:v>enter a formula in F</x:v>
      </x:c>
      <x:c r="D55" s="404" t="str">
        <x:v>custom</x:v>
      </x:c>
      <x:c r="E55" s="404"/>
      <x:c r="F55" s="405"/>
      <x:c r="G55" s="135" t="str">
        <x:f>IF(H55="","",INDEX('02_Constants'!$B$6:$B$33,MATCH(H55,'07_Matrix'!C41:AD41,0)))</x:f>
      </x:c>
      <x:c r="H55" s="156" t="str">
        <x:f>IF(ISNUMBER(F55),MIN('07_Matrix'!C41:AD41),"")</x:f>
      </x:c>
      <x:c r="I55" s="135" t="str">
        <x:f>IF(H55="","","requires review")</x:f>
      </x:c>
      <x:c r="J55" s="135" t="str">
        <x:v>Use cells B9:B15 as normalized geometry.</x:v>
      </x:c>
    </x:row>
    <x:row r="56">
      <x:c r="A56" s="135" t="n">
        <x:v>37</x:v>
      </x:c>
      <x:c r="B56" s="135" t="str">
        <x:v>Custom relation 7</x:v>
      </x:c>
      <x:c r="C56" s="403" t="str">
        <x:v>enter a formula in F</x:v>
      </x:c>
      <x:c r="D56" s="404" t="str">
        <x:v>custom</x:v>
      </x:c>
      <x:c r="E56" s="404"/>
      <x:c r="F56" s="405"/>
      <x:c r="G56" s="135" t="str">
        <x:f>IF(H56="","",INDEX('02_Constants'!$B$6:$B$33,MATCH(H56,'07_Matrix'!C42:AD42,0)))</x:f>
      </x:c>
      <x:c r="H56" s="156" t="str">
        <x:f>IF(ISNUMBER(F56),MIN('07_Matrix'!C42:AD42),"")</x:f>
      </x:c>
      <x:c r="I56" s="135" t="str">
        <x:f>IF(H56="","","requires review")</x:f>
      </x:c>
      <x:c r="J56" s="135" t="str">
        <x:v>Use cells B9:B15 as normalized geometry.</x:v>
      </x:c>
    </x:row>
    <x:row r="57">
      <x:c r="A57" s="141" t="n">
        <x:v>38</x:v>
      </x:c>
      <x:c r="B57" s="141" t="str">
        <x:v>Custom relation 8</x:v>
      </x:c>
      <x:c r="C57" s="406" t="str">
        <x:v>enter a formula in F</x:v>
      </x:c>
      <x:c r="D57" s="407" t="str">
        <x:v>custom</x:v>
      </x:c>
      <x:c r="E57" s="407"/>
      <x:c r="F57" s="408"/>
      <x:c r="G57" s="141" t="str">
        <x:f>IF(H57="","",INDEX('02_Constants'!$B$6:$B$33,MATCH(H57,'07_Matrix'!C43:AD43,0)))</x:f>
      </x:c>
      <x:c r="H57" s="160" t="str">
        <x:f>IF(ISNUMBER(F57),MIN('07_Matrix'!C43:AD43),"")</x:f>
      </x:c>
      <x:c r="I57" s="141" t="str">
        <x:f>IF(H57="","","requires review")</x:f>
      </x:c>
      <x:c r="J57" s="141" t="str">
        <x:v>Use cells B9:B15 as normalized geometry.</x:v>
      </x:c>
    </x:row>
  </x:sheetData>
  <x:mergeCells>
    <x:mergeCell ref="A1:J2"/>
    <x:mergeCell ref="A3:J3"/>
    <x:mergeCell ref="D5:J8"/>
    <x:mergeCell ref="A18:J18"/>
  </x:mergeCells>
  <x:conditionalFormatting sqref="I20:I57">
    <x:cfRule type="containsText" dxfId="0" priority="1" operator="containsText" text="numerically strong"/>
    <x:cfRule type="containsText" dxfId="1" priority="2" operator="containsText" text="multiple testing"/>
  </x:conditionalFormatting>
  <x:dataValidations count="1">
    <x:dataValidation type="list" allowBlank="0" showDropDown="0" sqref="B5">
      <x:formula1>'01_Models'!$B$6:$B$13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8e0394f12c4b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1" ht="30" customHeight="1">
      <x:c r="A1" s="126" t="str">
        <x:v>Match matrix: relations × constants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</x:row>
    <x:row r="3" ht="34" customHeight="1">
      <x:c r="A3" s="128" t="str">
        <x:v>Each cell is a relative error. A large number of comparisons raises the chance of a coincidentally small error; the colors support exploration, not proof.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</x:row>
    <x:row r="5" ht="32" customHeight="1">
      <x:c r="A5" s="129" t="str">
        <x:v>Relation</x:v>
      </x:c>
      <x:c r="B5" s="150" t="str">
        <x:v>Value</x:v>
      </x:c>
      <x:c r="C5" s="150" t="str">
        <x:v>π</x:v>
      </x:c>
      <x:c r="D5" s="150" t="str">
        <x:v>γ</x:v>
      </x:c>
      <x:c r="E5" s="150" t="str">
        <x:v>√3</x:v>
      </x:c>
      <x:c r="F5" s="150" t="str">
        <x:v>√6</x:v>
      </x:c>
      <x:c r="G5" s="150" t="str">
        <x:v>√2</x:v>
      </x:c>
      <x:c r="H5" s="150" t="str">
        <x:v>√5</x:v>
      </x:c>
      <x:c r="I5" s="150" t="str">
        <x:v>T</x:v>
      </x:c>
      <x:c r="J5" s="150" t="str">
        <x:v>B₂</x:v>
      </x:c>
      <x:c r="K5" s="150" t="str">
        <x:v>1/φ</x:v>
      </x:c>
      <x:c r="L5" s="150" t="str">
        <x:v>φ</x:v>
      </x:c>
      <x:c r="M5" s="150" t="str">
        <x:v>e</x:v>
      </x:c>
      <x:c r="N5" s="150" t="str">
        <x:v>e−1</x:v>
      </x:c>
      <x:c r="O5" s="150" t="str">
        <x:v>ρ</x:v>
      </x:c>
      <x:c r="P5" s="150" t="str">
        <x:v>δS</x:v>
      </x:c>
      <x:c r="Q5" s="150" t="str">
        <x:v>G</x:v>
      </x:c>
      <x:c r="R5" s="150" t="str">
        <x:v>ζ(3)</x:v>
      </x:c>
      <x:c r="S5" s="150" t="str">
        <x:v>K</x:v>
      </x:c>
      <x:c r="T5" s="150" t="str">
        <x:v>δ</x:v>
      </x:c>
      <x:c r="U5" s="150" t="str">
        <x:v>Ω</x:v>
      </x:c>
      <x:c r="V5" s="150" t="str">
        <x:v>λC</x:v>
      </x:c>
      <x:c r="W5" s="150" t="str">
        <x:v>√7</x:v>
      </x:c>
      <x:c r="X5" s="150" t="str">
        <x:v>ln 2</x:v>
      </x:c>
      <x:c r="Y5" s="150" t="str">
        <x:v>√π</x:v>
      </x:c>
      <x:c r="Z5" s="150" t="str">
        <x:v>2/√π</x:v>
      </x:c>
      <x:c r="AA5" s="150" t="str">
        <x:v>e/π</x:v>
      </x:c>
      <x:c r="AB5" s="150" t="str">
        <x:v>π/e</x:v>
      </x:c>
      <x:c r="AC5" s="150" t="str">
        <x:v>√φ</x:v>
      </x:c>
      <x:c r="AD5" s="130" t="str">
        <x:v>φ²</x:v>
      </x:c>
    </x:row>
    <x:row r="6">
      <x:c r="A6" s="131" t="str">
        <x:f>'06_Laboratory'!B20</x:f>
        <x:v>π from perimeter and height</x:v>
      </x:c>
      <x:c r="B6" s="355" t="n">
        <x:f>IF('06_Laboratory'!F20="","",'06_Laboratory'!F20)</x:f>
        <x:v>3.142857142857143</x:v>
      </x:c>
      <x:c r="C6" s="359" t="n">
        <x:f>IF(ISNUMBER($B6),ABS($B6-'02_Constants'!$D$6)/'02_Constants'!$D$6,"")</x:f>
        <x:v>0.0004024994347707008</x:v>
      </x:c>
      <x:c r="D6" s="359" t="n">
        <x:f>IF(ISNUMBER($B6),ABS($B6-'02_Constants'!$D$7)/'02_Constants'!$D$7,"")</x:f>
        <x:v>4.444857674459134</x:v>
      </x:c>
      <x:c r="E6" s="359" t="n">
        <x:f>IF(ISNUMBER($B6),ABS($B6-'02_Constants'!$D$8)/'02_Constants'!$D$8,"")</x:f>
        <x:v>0.8145294174531096</x:v>
      </x:c>
      <x:c r="F6" s="359" t="n">
        <x:f>IF(ISNUMBER($B6),ABS($B6-'02_Constants'!$D$9)/'02_Constants'!$D$9,"")</x:f>
        <x:v>0.2830660557435696</x:v>
      </x:c>
      <x:c r="G6" s="359" t="n">
        <x:f>IF(ISNUMBER($B6),ABS($B6-'02_Constants'!$D$10)/'02_Constants'!$D$10,"")</x:f>
        <x:v>1.2223355980148634</x:v>
      </x:c>
      <x:c r="H6" s="359" t="n">
        <x:f>IF(ISNUMBER($B6),ABS($B6-'02_Constants'!$D$11)/'02_Constants'!$D$11,"")</x:f>
        <x:v>0.40552844299986773</x:v>
      </x:c>
      <x:c r="I6" s="359" t="n">
        <x:f>IF(ISNUMBER($B6),ABS($B6-'02_Constants'!$D$12)/'02_Constants'!$D$12,"")</x:f>
        <x:v>0.7087368970322401</x:v>
      </x:c>
      <x:c r="J6" s="359" t="n">
        <x:f>IF(ISNUMBER($B6),ABS($B6-'02_Constants'!$D$13)/'02_Constants'!$D$13,"")</x:f>
        <x:v>0.6522564765423425</x:v>
      </x:c>
      <x:c r="K6" s="359" t="n">
        <x:f>IF(ISNUMBER($B6),ABS($B6-'02_Constants'!$D$14)/'02_Constants'!$D$14,"")</x:f>
        <x:v>4.08524967892824</x:v>
      </x:c>
      <x:c r="L6" s="359" t="n">
        <x:f>IF(ISNUMBER($B6),ABS($B6-'02_Constants'!$D$15)/'02_Constants'!$D$15,"")</x:f>
        <x:v>0.942392536071098</x:v>
      </x:c>
      <x:c r="M6" s="359" t="n">
        <x:f>IF(ISNUMBER($B6),ABS($B6-'02_Constants'!$D$16)/'02_Constants'!$D$16,"")</x:f>
        <x:v>0.15619252939596162</x:v>
      </x:c>
      <x:c r="N6" s="359" t="n">
        <x:f>IF(ISNUMBER($B6),ABS($B6-'02_Constants'!$D$17)/'02_Constants'!$D$17,"")</x:f>
        <x:v>0.8290696501607403</x:v>
      </x:c>
      <x:c r="O6" s="359" t="n">
        <x:f>IF(ISNUMBER($B6),ABS($B6-'02_Constants'!$D$18)/'02_Constants'!$D$18,"")</x:f>
        <x:v>1.3724726653467485</x:v>
      </x:c>
      <x:c r="P6" s="359" t="n">
        <x:f>IF(ISNUMBER($B6),ABS($B6-'02_Constants'!$D$19)/'02_Constants'!$D$19,"")</x:f>
        <x:v>0.3018140531725845</x:v>
      </x:c>
      <x:c r="Q6" s="359" t="n">
        <x:f>IF(ISNUMBER($B6),ABS($B6-'02_Constants'!$D$20)/'02_Constants'!$D$20,"")</x:f>
        <x:v>2.431195628783705</x:v>
      </x:c>
      <x:c r="R6" s="359" t="n">
        <x:f>IF(ISNUMBER($B6),ABS($B6-'02_Constants'!$D$21)/'02_Constants'!$D$21,"")</x:f>
        <x:v>1.6145660281107954</x:v>
      </x:c>
      <x:c r="S6" s="359" t="n">
        <x:f>IF(ISNUMBER($B6),ABS($B6-'02_Constants'!$D$22)/'02_Constants'!$D$22,"")</x:f>
        <x:v>0.17032705913581275</x:v>
      </x:c>
      <x:c r="T6" s="359" t="n">
        <x:f>IF(ISNUMBER($B6),ABS($B6-'02_Constants'!$D$23)/'02_Constants'!$D$23,"")</x:f>
        <x:v>0.3268962435184024</x:v>
      </x:c>
      <x:c r="U6" s="359" t="n">
        <x:f>IF(ISNUMBER($B6),ABS($B6-'02_Constants'!$D$24)/'02_Constants'!$D$24,"")</x:f>
        <x:v>4.541557479391675</x:v>
      </x:c>
      <x:c r="V6" s="359" t="n">
        <x:f>IF(ISNUMBER($B6),ABS($B6-'02_Constants'!$D$25)/'02_Constants'!$D$25,"")</x:f>
        <x:v>1.4109481022060204</x:v>
      </x:c>
      <x:c r="W6" s="359" t="n">
        <x:f>IF(ISNUMBER($B6),ABS($B6-'02_Constants'!$D$26)/'02_Constants'!$D$26,"")</x:f>
        <x:v>0.1878883437432855</x:v>
      </x:c>
      <x:c r="X6" s="359" t="n">
        <x:f>IF(ISNUMBER($B6),ABS($B6-'02_Constants'!$D$27)/'02_Constants'!$D$27,"")</x:f>
        <x:v>3.534184414222456</x:v>
      </x:c>
      <x:c r="Y6" s="359" t="n">
        <x:f>IF(ISNUMBER($B6),ABS($B6-'02_Constants'!$D$28)/'02_Constants'!$D$28,"")</x:f>
        <x:v>0.7731672625786628</x:v>
      </x:c>
      <x:c r="Z6" s="359" t="n">
        <x:f>IF(ISNUMBER($B6),ABS($B6-'02_Constants'!$D$29)/'02_Constants'!$D$29,"")</x:f>
        <x:v>1.785284622851525</x:v>
      </x:c>
      <x:c r="AA6" s="359" t="n">
        <x:f>IF(ISNUMBER($B6),ABS($B6-'02_Constants'!$D$30)/'02_Constants'!$D$30,"")</x:f>
        <x:v>2.632285956485754</x:v>
      </x:c>
      <x:c r="AB6" s="359" t="n">
        <x:f>IF(ISNUMBER($B6),ABS($B6-'02_Constants'!$D$31)/'02_Constants'!$D$31,"")</x:f>
        <x:v>1.7193759353585474</x:v>
      </x:c>
      <x:c r="AC6" s="359" t="n">
        <x:f>IF(ISNUMBER($B6),ABS($B6-'02_Constants'!$D$32)/'02_Constants'!$D$32,"")</x:f>
        <x:v>1.4707614729519016</x:v>
      </x:c>
      <x:c r="AD6" s="359" t="n">
        <x:f>IF(ISNUMBER($B6),ABS($B6-'02_Constants'!$D$33)/'02_Constants'!$D$33,"")</x:f>
        <x:v>0.20046460678604472</x:v>
      </x:c>
    </x:row>
    <x:row r="7">
      <x:c r="A7" s="135" t="str">
        <x:f>'06_Laboratory'!B21</x:f>
        <x:v>Euler–Mascheroni</x:v>
      </x:c>
      <x:c r="B7" s="365" t="n">
        <x:f>IF('06_Laboratory'!F21="","",'06_Laboratory'!F21)</x:f>
        <x:v>0.5772354343727726</x:v>
      </x:c>
      <x:c r="C7" s="369" t="n">
        <x:f>IF(ISNUMBER($B7),ABS($B7-'02_Constants'!$D$6)/'02_Constants'!$D$6,"")</x:f>
        <x:v>0.8162602545835519</x:v>
      </x:c>
      <x:c r="D7" s="369" t="n">
        <x:f>IF(ISNUMBER($B7),ABS($B7-'02_Constants'!$D$7)/'02_Constants'!$D$7,"")</x:f>
        <x:v>0.00003424971365440888</x:v>
      </x:c>
      <x:c r="E7" s="369" t="n">
        <x:f>IF(ISNUMBER($B7),ABS($B7-'02_Constants'!$D$8)/'02_Constants'!$D$8,"")</x:f>
        <x:v>0.6667329665790892</x:v>
      </x:c>
      <x:c r="F7" s="369" t="n">
        <x:f>IF(ISNUMBER($B7),ABS($B7-'02_Constants'!$D$9)/'02_Constants'!$D$9,"")</x:f>
        <x:v>0.7643446207221501</x:v>
      </x:c>
      <x:c r="G7" s="369" t="n">
        <x:f>IF(ISNUMBER($B7),ABS($B7-'02_Constants'!$D$10)/'02_Constants'!$D$10,"")</x:f>
        <x:v>0.5918329100138502</x:v>
      </x:c>
      <x:c r="H7" s="369" t="n">
        <x:f>IF(ISNUMBER($B7),ABS($B7-'02_Constants'!$D$11)/'02_Constants'!$D$11,"")</x:f>
        <x:v>0.7418524659441724</x:v>
      </x:c>
      <x:c r="I7" s="369" t="n">
        <x:f>IF(ISNUMBER($B7),ABS($B7-'02_Constants'!$D$12)/'02_Constants'!$D$12,"")</x:f>
        <x:v>0.6861634365949854</x:v>
      </x:c>
      <x:c r="J7" s="369" t="n">
        <x:f>IF(ISNUMBER($B7),ABS($B7-'02_Constants'!$D$13)/'02_Constants'!$D$13,"")</x:f>
        <x:v>0.6965369593397718</x:v>
      </x:c>
      <x:c r="K7" s="369" t="n">
        <x:f>IF(ISNUMBER($B7),ABS($B7-'02_Constants'!$D$14)/'02_Constants'!$D$14,"")</x:f>
        <x:v>0.0660134476740447</x:v>
      </x:c>
      <x:c r="L7" s="369" t="n">
        <x:f>IF(ISNUMBER($B7),ABS($B7-'02_Constants'!$D$15)/'02_Constants'!$D$15,"")</x:f>
        <x:v>0.6432488820468172</x:v>
      </x:c>
      <x:c r="M7" s="369" t="n">
        <x:f>IF(ISNUMBER($B7),ABS($B7-'02_Constants'!$D$16)/'02_Constants'!$D$16,"")</x:f>
        <x:v>0.7876469509785896</x:v>
      </x:c>
      <x:c r="N7" s="369" t="n">
        <x:f>IF(ISNUMBER($B7),ABS($B7-'02_Constants'!$D$17)/'02_Constants'!$D$17,"")</x:f>
        <x:v>0.6640624228154486</x:v>
      </x:c>
      <x:c r="O7" s="369" t="n">
        <x:f>IF(ISNUMBER($B7),ABS($B7-'02_Constants'!$D$18)/'02_Constants'!$D$18,"")</x:f>
        <x:v>0.5642578624257855</x:v>
      </x:c>
      <x:c r="P7" s="369" t="n">
        <x:f>IF(ISNUMBER($B7),ABS($B7-'02_Constants'!$D$19)/'02_Constants'!$D$19,"")</x:f>
        <x:v>0.760901254400473</x:v>
      </x:c>
      <x:c r="Q7" s="369" t="n">
        <x:f>IF(ISNUMBER($B7),ABS($B7-'02_Constants'!$D$20)/'02_Constants'!$D$20,"")</x:f>
        <x:v>0.3698066411639799</x:v>
      </x:c>
      <x:c r="R7" s="369" t="n">
        <x:f>IF(ISNUMBER($B7),ABS($B7-'02_Constants'!$D$21)/'02_Constants'!$D$21,"")</x:f>
        <x:v>0.5197935864304633</x:v>
      </x:c>
      <x:c r="S7" s="369" t="n">
        <x:f>IF(ISNUMBER($B7),ABS($B7-'02_Constants'!$D$22)/'02_Constants'!$D$22,"")</x:f>
        <x:v>0.785050920983214</x:v>
      </x:c>
      <x:c r="T7" s="369" t="n">
        <x:f>IF(ISNUMBER($B7),ABS($B7-'02_Constants'!$D$23)/'02_Constants'!$D$23,"")</x:f>
        <x:v>0.8763738466020818</x:v>
      </x:c>
      <x:c r="U7" s="369" t="n">
        <x:f>IF(ISNUMBER($B7),ABS($B7-'02_Constants'!$D$24)/'02_Constants'!$D$24,"")</x:f>
        <x:v>0.017794698683108196</x:v>
      </x:c>
      <x:c r="V7" s="369" t="n">
        <x:f>IF(ISNUMBER($B7),ABS($B7-'02_Constants'!$D$25)/'02_Constants'!$D$25,"")</x:f>
        <x:v>0.5571912397641032</x:v>
      </x:c>
      <x:c r="W7" s="369" t="n">
        <x:f>IF(ISNUMBER($B7),ABS($B7-'02_Constants'!$D$26)/'02_Constants'!$D$26,"")</x:f>
        <x:v>0.7818255132450428</x:v>
      </x:c>
      <x:c r="X7" s="369" t="n">
        <x:f>IF(ISNUMBER($B7),ABS($B7-'02_Constants'!$D$27)/'02_Constants'!$D$27,"")</x:f>
        <x:v>0.16722530140501426</x:v>
      </x:c>
      <x:c r="Y7" s="369" t="n">
        <x:f>IF(ISNUMBER($B7),ABS($B7-'02_Constants'!$D$28)/'02_Constants'!$D$28,"")</x:f>
        <x:v>0.6743297806722172</x:v>
      </x:c>
      <x:c r="Z7" s="369" t="n">
        <x:f>IF(ISNUMBER($B7),ABS($B7-'02_Constants'!$D$29)/'02_Constants'!$D$29,"")</x:f>
        <x:v>0.4884384157334305</x:v>
      </x:c>
      <x:c r="AA7" s="369" t="n">
        <x:f>IF(ISNUMBER($B7),ABS($B7-'02_Constants'!$D$30)/'02_Constants'!$D$30,"")</x:f>
        <x:v>0.332873221226944</x:v>
      </x:c>
      <x:c r="AB7" s="369" t="n">
        <x:f>IF(ISNUMBER($B7),ABS($B7-'02_Constants'!$D$31)/'02_Constants'!$D$31,"")</x:f>
        <x:v>0.5005435888687777</x:v>
      </x:c>
      <x:c r="AC7" s="369" t="n">
        <x:f>IF(ISNUMBER($B7),ABS($B7-'02_Constants'!$D$32)/'02_Constants'!$D$32,"")</x:f>
        <x:v>0.5462055679774401</x:v>
      </x:c>
      <x:c r="AD7" s="369" t="n">
        <x:f>IF(ISNUMBER($B7),ABS($B7-'02_Constants'!$D$33)/'02_Constants'!$D$33,"")</x:f>
        <x:v>0.7795156835804103</x:v>
      </x:c>
    </x:row>
    <x:row r="8">
      <x:c r="A8" s="135" t="str">
        <x:f>'06_Laboratory'!B22</x:f>
        <x:v>√3</x:v>
      </x:c>
      <x:c r="B8" s="365" t="n">
        <x:f>IF('06_Laboratory'!F22="","",'06_Laboratory'!F22)</x:f>
        <x:v>1.7323953805549133</x:v>
      </x:c>
      <x:c r="C8" s="369" t="n">
        <x:f>IF(ISNUMBER($B8),ABS($B8-'02_Constants'!$D$6)/'02_Constants'!$D$6,"")</x:f>
        <x:v>0.4485614235902408</x:v>
      </x:c>
      <x:c r="D8" s="369" t="n">
        <x:f>IF(ISNUMBER($B8),ABS($B8-'02_Constants'!$D$7)/'02_Constants'!$D$7,"")</x:f>
        <x:v>2.001296544594718</x:v>
      </x:c>
      <x:c r="E8" s="369" t="n">
        <x:f>IF(ISNUMBER($B8),ABS($B8-'02_Constants'!$D$8)/'02_Constants'!$D$8,"")</x:f>
        <x:v>0.00019893930624340024</x:v>
      </x:c>
      <x:c r="F8" s="369" t="n">
        <x:f>IF(ISNUMBER($B8),ABS($B8-'02_Constants'!$D$9)/'02_Constants'!$D$9,"")</x:f>
        <x:v>0.2927525474809632</x:v>
      </x:c>
      <x:c r="G8" s="369" t="n">
        <x:f>IF(ISNUMBER($B8),ABS($B8-'02_Constants'!$D$10)/'02_Constants'!$D$10,"")</x:f>
        <x:v>0.2249885212866287</x:v>
      </x:c>
      <x:c r="H8" s="369" t="n">
        <x:f>IF(ISNUMBER($B8),ABS($B8-'02_Constants'!$D$11)/'02_Constants'!$D$11,"")</x:f>
        <x:v>0.22524923303451935</x:v>
      </x:c>
      <x:c r="I8" s="369" t="n">
        <x:f>IF(ISNUMBER($B8),ABS($B8-'02_Constants'!$D$12)/'02_Constants'!$D$12,"")</x:f>
        <x:v>0.058115665953785214</x:v>
      </x:c>
      <x:c r="J8" s="369" t="n">
        <x:f>IF(ISNUMBER($B8),ABS($B8-'02_Constants'!$D$13)/'02_Constants'!$D$13,"")</x:f>
        <x:v>0.08924861762830721</x:v>
      </x:c>
      <x:c r="K8" s="369" t="n">
        <x:f>IF(ISNUMBER($B8),ABS($B8-'02_Constants'!$D$14)/'02_Constants'!$D$14,"")</x:f>
        <x:v>1.8030746076911581</x:v>
      </x:c>
      <x:c r="L8" s="369" t="n">
        <x:f>IF(ISNUMBER($B8),ABS($B8-'02_Constants'!$D$15)/'02_Constants'!$D$15,"")</x:f>
        <x:v>0.07067922713624504</x:v>
      </x:c>
      <x:c r="M8" s="369" t="n">
        <x:f>IF(ISNUMBER($B8),ABS($B8-'02_Constants'!$D$16)/'02_Constants'!$D$16,"")</x:f>
        <x:v>0.3626873555134703</x:v>
      </x:c>
      <x:c r="N8" s="369" t="n">
        <x:f>IF(ISNUMBER($B8),ABS($B8-'02_Constants'!$D$17)/'02_Constants'!$D$17,"")</x:f>
        <x:v>0.008213758570982041</x:v>
      </x:c>
      <x:c r="O8" s="369" t="n">
        <x:f>IF(ISNUMBER($B8),ABS($B8-'02_Constants'!$D$18)/'02_Constants'!$D$18,"")</x:f>
        <x:v>0.30774658188984405</x:v>
      </x:c>
      <x:c r="P8" s="369" t="n">
        <x:f>IF(ISNUMBER($B8),ABS($B8-'02_Constants'!$D$19)/'02_Constants'!$D$19,"")</x:f>
        <x:v>0.28241833798165566</x:v>
      </x:c>
      <x:c r="Q8" s="369" t="n">
        <x:f>IF(ISNUMBER($B8),ABS($B8-'02_Constants'!$D$20)/'02_Constants'!$D$20,"")</x:f>
        <x:v>0.8913323727088959</x:v>
      </x:c>
      <x:c r="R8" s="369" t="n">
        <x:f>IF(ISNUMBER($B8),ABS($B8-'02_Constants'!$D$21)/'02_Constants'!$D$21,"")</x:f>
        <x:v>0.44119248930839305</x:v>
      </x:c>
      <x:c r="S8" s="369" t="n">
        <x:f>IF(ISNUMBER($B8),ABS($B8-'02_Constants'!$D$22)/'02_Constants'!$D$22,"")</x:f>
        <x:v>0.35489616650467765</x:v>
      </x:c>
      <x:c r="T8" s="369" t="n">
        <x:f>IF(ISNUMBER($B8),ABS($B8-'02_Constants'!$D$23)/'02_Constants'!$D$23,"")</x:f>
        <x:v>0.6289739605209022</x:v>
      </x:c>
      <x:c r="U8" s="369" t="n">
        <x:f>IF(ISNUMBER($B8),ABS($B8-'02_Constants'!$D$24)/'02_Constants'!$D$24,"")</x:f>
        <x:v>2.0545990931201663</x:v>
      </x:c>
      <x:c r="V8" s="369" t="n">
        <x:f>IF(ISNUMBER($B8),ABS($B8-'02_Constants'!$D$25)/'02_Constants'!$D$25,"")</x:f>
        <x:v>0.3289548856879734</x:v>
      </x:c>
      <x:c r="W8" s="369" t="n">
        <x:f>IF(ISNUMBER($B8),ABS($B8-'02_Constants'!$D$26)/'02_Constants'!$D$26,"")</x:f>
        <x:v>0.3452160929449426</x:v>
      </x:c>
      <x:c r="X8" s="369" t="n">
        <x:f>IF(ISNUMBER($B8),ABS($B8-'02_Constants'!$D$27)/'02_Constants'!$D$27,"")</x:f>
        <x:v>1.4993182243855219</x:v>
      </x:c>
      <x:c r="Y8" s="369" t="n">
        <x:f>IF(ISNUMBER($B8),ABS($B8-'02_Constants'!$D$28)/'02_Constants'!$D$28,"")</x:f>
        <x:v>0.022600571704666634</x:v>
      </x:c>
      <x:c r="Z8" s="369" t="n">
        <x:f>IF(ISNUMBER($B8),ABS($B8-'02_Constants'!$D$29)/'02_Constants'!$D$29,"")</x:f>
        <x:v>0.5352954317777415</x:v>
      </x:c>
      <x:c r="AA8" s="369" t="n">
        <x:f>IF(ISNUMBER($B8),ABS($B8-'02_Constants'!$D$30)/'02_Constants'!$D$30,"")</x:f>
        <x:v>1.0021767219587652</x:v>
      </x:c>
      <x:c r="AB8" s="369" t="n">
        <x:f>IF(ISNUMBER($B8),ABS($B8-'02_Constants'!$D$31)/'02_Constants'!$D$31,"")</x:f>
        <x:v>0.49896546176597306</x:v>
      </x:c>
      <x:c r="AC8" s="369" t="n">
        <x:f>IF(ISNUMBER($B8),ABS($B8-'02_Constants'!$D$32)/'02_Constants'!$D$32,"")</x:f>
        <x:v>0.3619250152438407</x:v>
      </x:c>
      <x:c r="AD8" s="369" t="n">
        <x:f>IF(ISNUMBER($B8),ABS($B8-'02_Constants'!$D$33)/'02_Constants'!$D$33,"")</x:f>
        <x:v>0.3382838465813318</x:v>
      </x:c>
    </x:row>
    <x:row r="9">
      <x:c r="A9" s="135" t="str">
        <x:f>'06_Laboratory'!B23</x:f>
        <x:v>√6</x:v>
      </x:c>
      <x:c r="B9" s="365" t="n">
        <x:f>IF('06_Laboratory'!F23="","",'06_Laboratory'!F23)</x:f>
        <x:v>2.4499770425732574</x:v>
      </x:c>
      <x:c r="C9" s="369" t="n">
        <x:f>IF(ISNUMBER($B9),ABS($B9-'02_Constants'!$D$6)/'02_Constants'!$D$6,"")</x:f>
        <x:v>0.22014808642560632</x:v>
      </x:c>
      <x:c r="D9" s="369" t="n">
        <x:f>IF(ISNUMBER($B9),ABS($B9-'02_Constants'!$D$7)/'02_Constants'!$D$7,"")</x:f>
        <x:v>3.2444742780693567</x:v>
      </x:c>
      <x:c r="E9" s="369" t="n">
        <x:f>IF(ISNUMBER($B9),ABS($B9-'02_Constants'!$D$8)/'02_Constants'!$D$8,"")</x:f>
        <x:v>0.41449490503807346</x:v>
      </x:c>
      <x:c r="F9" s="369" t="n">
        <x:f>IF(ISNUMBER($B9),ABS($B9-'02_Constants'!$D$9)/'02_Constants'!$D$9,"")</x:f>
        <x:v>0.00019893930624337723</x:v>
      </x:c>
      <x:c r="G9" s="369" t="n">
        <x:f>IF(ISNUMBER($B9),ABS($B9-'02_Constants'!$D$10)/'02_Constants'!$D$10,"")</x:f>
        <x:v>0.732395380554913</x:v>
      </x:c>
      <x:c r="H9" s="369" t="n">
        <x:f>IF(ISNUMBER($B9),ABS($B9-'02_Constants'!$D$11)/'02_Constants'!$D$11,"")</x:f>
        <x:v>0.09566304210153993</x:v>
      </x:c>
      <x:c r="I9" s="369" t="n">
        <x:f>IF(ISNUMBER($B9),ABS($B9-'02_Constants'!$D$12)/'02_Constants'!$D$12,"")</x:f>
        <x:v>0.3320255993949076</x:v>
      </x:c>
      <x:c r="J9" s="369" t="n">
        <x:f>IF(ISNUMBER($B9),ABS($B9-'02_Constants'!$D$13)/'02_Constants'!$D$13,"")</x:f>
        <x:v>0.2879969569000924</x:v>
      </x:c>
      <x:c r="K9" s="369" t="n">
        <x:f>IF(ISNUMBER($B9),ABS($B9-'02_Constants'!$D$14)/'02_Constants'!$D$14,"")</x:f>
        <x:v>2.9641461265404785</x:v>
      </x:c>
      <x:c r="L9" s="369" t="n">
        <x:f>IF(ISNUMBER($B9),ABS($B9-'02_Constants'!$D$15)/'02_Constants'!$D$15,"")</x:f>
        <x:v>0.5141690839672212</x:v>
      </x:c>
      <x:c r="M9" s="369" t="n">
        <x:f>IF(ISNUMBER($B9),ABS($B9-'02_Constants'!$D$16)/'02_Constants'!$D$16,"")</x:f>
        <x:v>0.09870381469528705</x:v>
      </x:c>
      <x:c r="N9" s="369" t="n">
        <x:f>IF(ISNUMBER($B9),ABS($B9-'02_Constants'!$D$17)/'02_Constants'!$D$17,"")</x:f>
        <x:v>0.425829571142236</x:v>
      </x:c>
      <x:c r="O9" s="369" t="n">
        <x:f>IF(ISNUMBER($B9),ABS($B9-'02_Constants'!$D$18)/'02_Constants'!$D$18,"")</x:f>
        <x:v>0.8494329522556747</x:v>
      </x:c>
      <x:c r="P9" s="369" t="n">
        <x:f>IF(ISNUMBER($B9),ABS($B9-'02_Constants'!$D$19)/'02_Constants'!$D$19,"")</x:f>
        <x:v>0.014813718536568965</x:v>
      </x:c>
      <x:c r="Q9" s="369" t="n">
        <x:f>IF(ISNUMBER($B9),ABS($B9-'02_Constants'!$D$20)/'02_Constants'!$D$20,"")</x:f>
        <x:v>1.674747892440206</x:v>
      </x:c>
      <x:c r="R9" s="369" t="n">
        <x:f>IF(ISNUMBER($B9),ABS($B9-'02_Constants'!$D$21)/'02_Constants'!$D$21,"")</x:f>
        <x:v>1.0381539643701712</x:v>
      </x:c>
      <x:c r="S9" s="369" t="n">
        <x:f>IF(ISNUMBER($B9),ABS($B9-'02_Constants'!$D$22)/'02_Constants'!$D$22,"")</x:f>
        <x:v>0.08768540953204026</x:v>
      </x:c>
      <x:c r="T9" s="369" t="n">
        <x:f>IF(ISNUMBER($B9),ABS($B9-'02_Constants'!$D$23)/'02_Constants'!$D$23,"")</x:f>
        <x:v>0.4752899429750845</x:v>
      </x:c>
      <x:c r="U9" s="369" t="n">
        <x:f>IF(ISNUMBER($B9),ABS($B9-'02_Constants'!$D$24)/'02_Constants'!$D$24,"")</x:f>
        <x:v>3.319855465103096</x:v>
      </x:c>
      <x:c r="V9" s="369" t="n">
        <x:f>IF(ISNUMBER($B9),ABS($B9-'02_Constants'!$D$25)/'02_Constants'!$D$25,"")</x:f>
        <x:v>0.879426023121918</x:v>
      </x:c>
      <x:c r="W9" s="369" t="n">
        <x:f>IF(ISNUMBER($B9),ABS($B9-'02_Constants'!$D$26)/'02_Constants'!$D$26,"")</x:f>
        <x:v>0.07399571821909375</x:v>
      </x:c>
      <x:c r="X9" s="369" t="n">
        <x:f>IF(ISNUMBER($B9),ABS($B9-'02_Constants'!$D$27)/'02_Constants'!$D$27,"")</x:f>
        <x:v>2.5345697296122474</x:v>
      </x:c>
      <x:c r="Y9" s="369" t="n">
        <x:f>IF(ISNUMBER($B9),ABS($B9-'02_Constants'!$D$28)/'02_Constants'!$D$28,"")</x:f>
        <x:v>0.3822515273509698</x:v>
      </x:c>
      <x:c r="Z9" s="369" t="n">
        <x:f>IF(ISNUMBER($B9),ABS($B9-'02_Constants'!$D$29)/'02_Constants'!$D$29,"")</x:f>
        <x:v>1.1712356218695388</x:v>
      </x:c>
      <x:c r="AA9" s="369" t="n">
        <x:f>IF(ISNUMBER($B9),ABS($B9-'02_Constants'!$D$30)/'02_Constants'!$D$30,"")</x:f>
        <x:v>1.8315054744617911</x:v>
      </x:c>
      <x:c r="AB9" s="369" t="n">
        <x:f>IF(ISNUMBER($B9),ABS($B9-'02_Constants'!$D$31)/'02_Constants'!$D$31,"")</x:f>
        <x:v>1.119857285558288</x:v>
      </x:c>
      <x:c r="AC9" s="369" t="n">
        <x:f>IF(ISNUMBER($B9),ABS($B9-'02_Constants'!$D$32)/'02_Constants'!$D$32,"")</x:f>
        <x:v>0.9260528274930235</x:v>
      </x:c>
      <x:c r="AD9" s="369" t="n">
        <x:f>IF(ISNUMBER($B9),ABS($B9-'02_Constants'!$D$33)/'02_Constants'!$D$33,"")</x:f>
        <x:v>0.06419204139396383</x:v>
      </x:c>
    </x:row>
    <x:row r="10">
      <x:c r="A10" s="135" t="str">
        <x:f>'06_Laboratory'!B24</x:f>
        <x:v>base √2</x:v>
      </x:c>
      <x:c r="B10" s="365" t="n">
        <x:f>IF('06_Laboratory'!F24="","",'06_Laboratory'!F24)</x:f>
        <x:v>1.4142135623730951</x:v>
      </x:c>
      <x:c r="C10" s="369" t="n">
        <x:f>IF(ISNUMBER($B10),ABS($B10-'02_Constants'!$D$6)/'02_Constants'!$D$6,"")</x:f>
        <x:v>0.5498418419214469</x:v>
      </x:c>
      <x:c r="D10" s="369" t="n">
        <x:f>IF(ISNUMBER($B10),ABS($B10-'02_Constants'!$D$7)/'02_Constants'!$D$7,"")</x:f>
        <x:v>1.4500609535854256</x:v>
      </x:c>
      <x:c r="E10" s="369" t="n">
        <x:f>IF(ISNUMBER($B10),ABS($B10-'02_Constants'!$D$8)/'02_Constants'!$D$8,"")</x:f>
        <x:v>0.18350341907227385</x:v>
      </x:c>
      <x:c r="F10" s="369" t="n">
        <x:f>IF(ISNUMBER($B10),ABS($B10-'02_Constants'!$D$9)/'02_Constants'!$D$9,"")</x:f>
        <x:v>0.42264973081037416</x:v>
      </x:c>
      <x:c r="G10" s="369" t="n">
        <x:f>IF(ISNUMBER($B10),ABS($B10-'02_Constants'!$D$10)/'02_Constants'!$D$10,"")</x:f>
        <x:v>0</x:v>
      </x:c>
      <x:c r="H10" s="369" t="n">
        <x:f>IF(ISNUMBER($B10),ABS($B10-'02_Constants'!$D$11)/'02_Constants'!$D$11,"")</x:f>
        <x:v>0.3675444679663241</x:v>
      </x:c>
      <x:c r="I10" s="369" t="n">
        <x:f>IF(ISNUMBER($B10),ABS($B10-'02_Constants'!$D$12)/'02_Constants'!$D$12,"")</x:f>
        <x:v>0.23110762453762768</x:v>
      </x:c>
      <x:c r="J10" s="369" t="n">
        <x:f>IF(ISNUMBER($B10),ABS($B10-'02_Constants'!$D$13)/'02_Constants'!$D$13,"")</x:f>
        <x:v>0.2565225171129658</x:v>
      </x:c>
      <x:c r="K10" s="369" t="n">
        <x:f>IF(ISNUMBER($B10),ABS($B10-'02_Constants'!$D$14)/'02_Constants'!$D$14,"")</x:f>
        <x:v>1.2882456112707372</x:v>
      </x:c>
      <x:c r="L10" s="369" t="n">
        <x:f>IF(ISNUMBER($B10),ABS($B10-'02_Constants'!$D$15)/'02_Constants'!$D$15,"")</x:f>
        <x:v>0.12596795110235784</x:v>
      </x:c>
      <x:c r="M10" s="369" t="n">
        <x:f>IF(ISNUMBER($B10),ABS($B10-'02_Constants'!$D$16)/'02_Constants'!$D$16,"")</x:f>
        <x:v>0.47973990497711105</x:v>
      </x:c>
      <x:c r="N10" s="369" t="n">
        <x:f>IF(ISNUMBER($B10),ABS($B10-'02_Constants'!$D$17)/'02_Constants'!$D$17,"")</x:f>
        <x:v>0.17696064816016727</x:v>
      </x:c>
      <x:c r="O10" s="369" t="n">
        <x:f>IF(ISNUMBER($B10),ABS($B10-'02_Constants'!$D$18)/'02_Constants'!$D$18,"")</x:f>
        <x:v>0.06755823353862371</x:v>
      </x:c>
      <x:c r="P10" s="369" t="n">
        <x:f>IF(ISNUMBER($B10),ABS($B10-'02_Constants'!$D$19)/'02_Constants'!$D$19,"")</x:f>
        <x:v>0.414213562373095</x:v>
      </x:c>
      <x:c r="Q10" s="369" t="n">
        <x:f>IF(ISNUMBER($B10),ABS($B10-'02_Constants'!$D$20)/'02_Constants'!$D$20,"")</x:f>
        <x:v>0.5439592615303803</x:v>
      </x:c>
      <x:c r="R10" s="369" t="n">
        <x:f>IF(ISNUMBER($B10),ABS($B10-'02_Constants'!$D$21)/'02_Constants'!$D$21,"")</x:f>
        <x:v>0.1764946889418043</x:v>
      </x:c>
      <x:c r="S10" s="369" t="n">
        <x:f>IF(ISNUMBER($B10),ABS($B10-'02_Constants'!$D$22)/'02_Constants'!$D$22,"")</x:f>
        <x:v>0.4733796910866091</x:v>
      </x:c>
      <x:c r="T10" s="369" t="n">
        <x:f>IF(ISNUMBER($B10),ABS($B10-'02_Constants'!$D$23)/'02_Constants'!$D$23,"")</x:f>
        <x:v>0.6971187623134606</x:v>
      </x:c>
      <x:c r="U10" s="369" t="n">
        <x:f>IF(ISNUMBER($B10),ABS($B10-'02_Constants'!$D$24)/'02_Constants'!$D$24,"")</x:f>
        <x:v>1.4935736458263813</x:v>
      </x:c>
      <x:c r="V10" s="369" t="n">
        <x:f>IF(ISNUMBER($B10),ABS($B10-'02_Constants'!$D$25)/'02_Constants'!$D$25,"")</x:f>
        <x:v>0.08487129682827299</x:v>
      </x:c>
      <x:c r="W10" s="369" t="n">
        <x:f>IF(ISNUMBER($B10),ABS($B10-'02_Constants'!$D$26)/'02_Constants'!$D$26,"")</x:f>
        <x:v>0.4654775161751512</x:v>
      </x:c>
      <x:c r="X10" s="369" t="n">
        <x:f>IF(ISNUMBER($B10),ABS($B10-'02_Constants'!$D$27)/'02_Constants'!$D$27,"")</x:f>
        <x:v>1.0402788931935791</x:v>
      </x:c>
      <x:c r="Y10" s="369" t="n">
        <x:f>IF(ISNUMBER($B10),ABS($B10-'02_Constants'!$D$28)/'02_Constants'!$D$28,"")</x:f>
        <x:v>0.2021154391971345</x:v>
      </x:c>
      <x:c r="Z10" s="369" t="n">
        <x:f>IF(ISNUMBER($B10),ABS($B10-'02_Constants'!$D$29)/'02_Constants'!$D$29,"")</x:f>
        <x:v>0.25331413731550034</x:v>
      </x:c>
      <x:c r="AA10" s="369" t="n">
        <x:f>IF(ISNUMBER($B10),ABS($B10-'02_Constants'!$D$30)/'02_Constants'!$D$30,"")</x:f>
        <x:v>0.6344452924798356</x:v>
      </x:c>
      <x:c r="AB10" s="369" t="n">
        <x:f>IF(ISNUMBER($B10),ABS($B10-'02_Constants'!$D$31)/'02_Constants'!$D$31,"")</x:f>
        <x:v>0.22365674103752514</x:v>
      </x:c>
      <x:c r="AC10" s="369" t="n">
        <x:f>IF(ISNUMBER($B10),ABS($B10-'02_Constants'!$D$32)/'02_Constants'!$D$32,"")</x:f>
        <x:v>0.1117859405028424</x:v>
      </x:c>
      <x:c r="AD10" s="369" t="n">
        <x:f>IF(ISNUMBER($B10),ABS($B10-'02_Constants'!$D$33)/'02_Constants'!$D$33,"")</x:f>
        <x:v>0.45981848652454704</x:v>
      </x:c>
    </x:row>
    <x:row r="11">
      <x:c r="A11" s="135" t="str">
        <x:f>'06_Laboratory'!B25</x:f>
        <x:v>√5</x:v>
      </x:c>
      <x:c r="B11" s="365" t="n">
        <x:f>IF('06_Laboratory'!F25="","",'06_Laboratory'!F25)</x:f>
        <x:v>2.235643103863807</x:v>
      </x:c>
      <x:c r="C11" s="369" t="n">
        <x:f>IF(ISNUMBER($B11),ABS($B11-'02_Constants'!$D$6)/'02_Constants'!$D$6,"")</x:f>
        <x:v>0.2883726980615351</x:v>
      </x:c>
      <x:c r="D11" s="369" t="n">
        <x:f>IF(ISNUMBER($B11),ABS($B11-'02_Constants'!$D$7)/'02_Constants'!$D$7,"")</x:f>
        <x:v>2.873150435453246</x:v>
      </x:c>
      <x:c r="E11" s="369" t="n">
        <x:f>IF(ISNUMBER($B11),ABS($B11-'02_Constants'!$D$8)/'02_Constants'!$D$8,"")</x:f>
        <x:v>0.2907491478276995</x:v>
      </x:c>
      <x:c r="F11" s="369" t="n">
        <x:f>IF(ISNUMBER($B11),ABS($B11-'02_Constants'!$D$9)/'02_Constants'!$D$9,"")</x:f>
        <x:v>0.0873025247602762</x:v>
      </x:c>
      <x:c r="G11" s="369" t="n">
        <x:f>IF(ISNUMBER($B11),ABS($B11-'02_Constants'!$D$10)/'02_Constants'!$D$10,"")</x:f>
        <x:v>0.5808383990550388</x:v>
      </x:c>
      <x:c r="H11" s="369" t="n">
        <x:f>IF(ISNUMBER($B11),ABS($B11-'02_Constants'!$D$11)/'02_Constants'!$D$11,"")</x:f>
        <x:v>0.00019000926638103948</x:v>
      </x:c>
      <x:c r="I11" s="369" t="n">
        <x:f>IF(ISNUMBER($B11),ABS($B11-'02_Constants'!$D$12)/'02_Constants'!$D$12,"")</x:f>
        <x:v>0.21549459187156245</x:v>
      </x:c>
      <x:c r="J11" s="369" t="n">
        <x:f>IF(ISNUMBER($B11),ABS($B11-'02_Constants'!$D$13)/'02_Constants'!$D$13,"")</x:f>
        <x:v>0.1753177537806091</x:v>
      </x:c>
      <x:c r="K11" s="369" t="n">
        <x:f>IF(ISNUMBER($B11),ABS($B11-'02_Constants'!$D$14)/'02_Constants'!$D$14,"")</x:f>
        <x:v>2.6173465287659505</x:v>
      </x:c>
      <x:c r="L11" s="369" t="n">
        <x:f>IF(ISNUMBER($B11),ABS($B11-'02_Constants'!$D$15)/'02_Constants'!$D$15,"")</x:f>
        <x:v>0.381703424902144</x:v>
      </x:c>
      <x:c r="M11" s="369" t="n">
        <x:f>IF(ISNUMBER($B11),ABS($B11-'02_Constants'!$D$16)/'02_Constants'!$D$16,"")</x:f>
        <x:v>0.17755286429179387</x:v>
      </x:c>
      <x:c r="N11" s="369" t="n">
        <x:f>IF(ISNUMBER($B11),ABS($B11-'02_Constants'!$D$17)/'02_Constants'!$D$17,"")</x:f>
        <x:v>0.301092211321778</x:v>
      </x:c>
      <x:c r="O11" s="369" t="n">
        <x:f>IF(ISNUMBER($B11),ABS($B11-'02_Constants'!$D$18)/'02_Constants'!$D$18,"")</x:f>
        <x:v>0.6876370488052231</x:v>
      </x:c>
      <x:c r="P11" s="369" t="n">
        <x:f>IF(ISNUMBER($B11),ABS($B11-'02_Constants'!$D$19)/'02_Constants'!$D$19,"")</x:f>
        <x:v>0.07396630575372914</x:v>
      </x:c>
      <x:c r="Q11" s="369" t="n">
        <x:f>IF(ISNUMBER($B11),ABS($B11-'02_Constants'!$D$20)/'02_Constants'!$D$20,"")</x:f>
        <x:v>1.4407500872038865</x:v>
      </x:c>
      <x:c r="R11" s="369" t="n">
        <x:f>IF(ISNUMBER($B11),ABS($B11-'02_Constants'!$D$21)/'02_Constants'!$D$21,"")</x:f>
        <x:v>0.8598479805635177</x:v>
      </x:c>
      <x:c r="S11" s="369" t="n">
        <x:f>IF(ISNUMBER($B11),ABS($B11-'02_Constants'!$D$22)/'02_Constants'!$D$22,"")</x:f>
        <x:v>0.16749839394748514</x:v>
      </x:c>
      <x:c r="T11" s="369" t="n">
        <x:f>IF(ISNUMBER($B11),ABS($B11-'02_Constants'!$D$23)/'02_Constants'!$D$23,"")</x:f>
        <x:v>0.5211937091118024</x:v>
      </x:c>
      <x:c r="U11" s="369" t="n">
        <x:f>IF(ISNUMBER($B11),ABS($B11-'02_Constants'!$D$24)/'02_Constants'!$D$24,"")</x:f>
        <x:v>2.941936970194013</x:v>
      </x:c>
      <x:c r="V11" s="369" t="n">
        <x:f>IF(ISNUMBER($B11),ABS($B11-'02_Constants'!$D$25)/'02_Constants'!$D$25,"")</x:f>
        <x:v>0.7150062040587708</x:v>
      </x:c>
      <x:c r="W11" s="369" t="n">
        <x:f>IF(ISNUMBER($B11),ABS($B11-'02_Constants'!$D$26)/'02_Constants'!$D$26,"")</x:f>
        <x:v>0.1550063324114032</x:v>
      </x:c>
      <x:c r="X11" s="369" t="n">
        <x:f>IF(ISNUMBER($B11),ABS($B11-'02_Constants'!$D$27)/'02_Constants'!$D$27,"")</x:f>
        <x:v>2.225351219141924</x:v>
      </x:c>
      <x:c r="Y11" s="369" t="n">
        <x:f>IF(ISNUMBER($B11),ABS($B11-'02_Constants'!$D$28)/'02_Constants'!$D$28,"")</x:f>
        <x:v>0.2613265517303346</x:v>
      </x:c>
      <x:c r="Z11" s="369" t="n">
        <x:f>IF(ISNUMBER($B11),ABS($B11-'02_Constants'!$D$29)/'02_Constants'!$D$29,"")</x:f>
        <x:v>0.9812871143468826</x:v>
      </x:c>
      <x:c r="AA11" s="369" t="n">
        <x:f>IF(ISNUMBER($B11),ABS($B11-'02_Constants'!$D$30)/'02_Constants'!$D$30,"")</x:f>
        <x:v>1.5837938795068682</x:v>
      </x:c>
      <x:c r="AB11" s="369" t="n">
        <x:f>IF(ISNUMBER($B11),ABS($B11-'02_Constants'!$D$31)/'02_Constants'!$D$31,"")</x:f>
        <x:v>0.9344035634946674</x:v>
      </x:c>
      <x:c r="AC11" s="369" t="n">
        <x:f>IF(ISNUMBER($B11),ABS($B11-'02_Constants'!$D$32)/'02_Constants'!$D$32,"")</x:f>
        <x:v>0.757553906276414</x:v>
      </x:c>
      <x:c r="AD11" s="369" t="n">
        <x:f>IF(ISNUMBER($B11),ABS($B11-'02_Constants'!$D$33)/'02_Constants'!$D$33,"")</x:f>
        <x:v>0.14606032103833713</x:v>
      </x:c>
    </x:row>
    <x:row r="12">
      <x:c r="A12" s="135" t="str">
        <x:f>'06_Laboratory'!B26</x:f>
        <x:v>Tribonacci</x:v>
      </x:c>
      <x:c r="B12" s="365" t="n">
        <x:f>IF('06_Laboratory'!F26="","",'06_Laboratory'!F26)</x:f>
        <x:v>1.8396263769909913</x:v>
      </x:c>
      <x:c r="C12" s="369" t="n">
        <x:f>IF(ISNUMBER($B12),ABS($B12-'02_Constants'!$D$6)/'02_Constants'!$D$6,"")</x:f>
        <x:v>0.41442873731929836</x:v>
      </x:c>
      <x:c r="D12" s="369" t="n">
        <x:f>IF(ISNUMBER($B12),ABS($B12-'02_Constants'!$D$7)/'02_Constants'!$D$7,"")</x:f>
        <x:v>2.1870693899217253</x:v>
      </x:c>
      <x:c r="E12" s="369" t="n">
        <x:f>IF(ISNUMBER($B12),ABS($B12-'02_Constants'!$D$8)/'02_Constants'!$D$8,"")</x:f>
        <x:v>0.062108783964084854</x:v>
      </x:c>
      <x:c r="F12" s="369" t="n">
        <x:f>IF(ISNUMBER($B12),ABS($B12-'02_Constants'!$D$9)/'02_Constants'!$D$9,"")</x:f>
        <x:v>0.24897567650119776</x:v>
      </x:c>
      <x:c r="G12" s="369" t="n">
        <x:f>IF(ISNUMBER($B12),ABS($B12-'02_Constants'!$D$10)/'02_Constants'!$D$10,"")</x:f>
        <x:v>0.30081228601996995</x:v>
      </x:c>
      <x:c r="H12" s="369" t="n">
        <x:f>IF(ISNUMBER($B12),ABS($B12-'02_Constants'!$D$11)/'02_Constants'!$D$11,"")</x:f>
        <x:v>0.17729407356929772</x:v>
      </x:c>
      <x:c r="I12" s="369" t="n">
        <x:f>IF(ISNUMBER($B12),ABS($B12-'02_Constants'!$D$12)/'02_Constants'!$D$12,"")</x:f>
        <x:v>0.00018464862853361324</x:v>
      </x:c>
      <x:c r="J12" s="369" t="n">
        <x:f>IF(ISNUMBER($B12),ABS($B12-'02_Constants'!$D$13)/'02_Constants'!$D$13,"")</x:f>
        <x:v>0.032875355881343965</x:v>
      </x:c>
      <x:c r="K12" s="369" t="n">
        <x:f>IF(ISNUMBER($B12),ABS($B12-'02_Constants'!$D$14)/'02_Constants'!$D$14,"")</x:f>
        <x:v>1.9765780045722512</x:v>
      </x:c>
      <x:c r="L12" s="369" t="n">
        <x:f>IF(ISNUMBER($B12),ABS($B12-'02_Constants'!$D$15)/'02_Constants'!$D$15,"")</x:f>
        <x:v>0.1369516275812601</x:v>
      </x:c>
      <x:c r="M12" s="369" t="n">
        <x:f>IF(ISNUMBER($B12),ABS($B12-'02_Constants'!$D$16)/'02_Constants'!$D$16,"")</x:f>
        <x:v>0.323239276468309</x:v>
      </x:c>
      <x:c r="N12" s="369" t="n">
        <x:f>IF(ISNUMBER($B12),ABS($B12-'02_Constants'!$D$17)/'02_Constants'!$D$17,"")</x:f>
        <x:v>0.07061970075116722</x:v>
      </x:c>
      <x:c r="O12" s="369" t="n">
        <x:f>IF(ISNUMBER($B12),ABS($B12-'02_Constants'!$D$18)/'02_Constants'!$D$18,"")</x:f>
        <x:v>0.3886928662288181</x:v>
      </x:c>
      <x:c r="P12" s="369" t="n">
        <x:f>IF(ISNUMBER($B12),ABS($B12-'02_Constants'!$D$19)/'02_Constants'!$D$19,"")</x:f>
        <x:v>0.2380018049510511</x:v>
      </x:c>
      <x:c r="Q12" s="369" t="n">
        <x:f>IF(ISNUMBER($B12),ABS($B12-'02_Constants'!$D$20)/'02_Constants'!$D$20,"")</x:f>
        <x:v>1.0084011765130387</x:v>
      </x:c>
      <x:c r="R12" s="369" t="n">
        <x:f>IF(ISNUMBER($B12),ABS($B12-'02_Constants'!$D$21)/'02_Constants'!$D$21,"")</x:f>
        <x:v>0.5303987458127419</x:v>
      </x:c>
      <x:c r="S12" s="369" t="n">
        <x:f>IF(ISNUMBER($B12),ABS($B12-'02_Constants'!$D$22)/'02_Constants'!$D$22,"")</x:f>
        <x:v>0.3149658320978292</x:v>
      </x:c>
      <x:c r="T12" s="369" t="n">
        <x:f>IF(ISNUMBER($B12),ABS($B12-'02_Constants'!$D$23)/'02_Constants'!$D$23,"")</x:f>
        <x:v>0.6060083648124148</x:v>
      </x:c>
      <x:c r="U12" s="369" t="n">
        <x:f>IF(ISNUMBER($B12),ABS($B12-'02_Constants'!$D$24)/'02_Constants'!$D$24,"")</x:f>
        <x:v>2.243671234586566</x:v>
      </x:c>
      <x:c r="V12" s="369" t="n">
        <x:f>IF(ISNUMBER($B12),ABS($B12-'02_Constants'!$D$25)/'02_Constants'!$D$25,"")</x:f>
        <x:v>0.41121391166463517</x:v>
      </x:c>
      <x:c r="W12" s="369" t="n">
        <x:f>IF(ISNUMBER($B12),ABS($B12-'02_Constants'!$D$26)/'02_Constants'!$D$26,"")</x:f>
        <x:v>0.30468658588672604</x:v>
      </x:c>
      <x:c r="X12" s="369" t="n">
        <x:f>IF(ISNUMBER($B12),ABS($B12-'02_Constants'!$D$27)/'02_Constants'!$D$27,"")</x:f>
        <x:v>1.6540198511734336</x:v>
      </x:c>
      <x:c r="Y12" s="369" t="n">
        <x:f>IF(ISNUMBER($B12),ABS($B12-'02_Constants'!$D$28)/'02_Constants'!$D$28,"")</x:f>
        <x:v>0.037898039518015174</x:v>
      </x:c>
      <x:c r="Z12" s="369" t="n">
        <x:f>IF(ISNUMBER($B12),ABS($B12-'02_Constants'!$D$29)/'02_Constants'!$D$29,"")</x:f>
        <x:v>0.6303264280625226</x:v>
      </x:c>
      <x:c r="AA12" s="369" t="n">
        <x:f>IF(ISNUMBER($B12),ABS($B12-'02_Constants'!$D$30)/'02_Constants'!$D$30,"")</x:f>
        <x:v>1.1261065172852736</x:v>
      </x:c>
      <x:c r="AB12" s="369" t="n">
        <x:f>IF(ISNUMBER($B12),ABS($B12-'02_Constants'!$D$31)/'02_Constants'!$D$31,"")</x:f>
        <x:v>0.5917477226127695</x:v>
      </x:c>
      <x:c r="AC12" s="369" t="n">
        <x:f>IF(ISNUMBER($B12),ABS($B12-'02_Constants'!$D$32)/'02_Constants'!$D$32,"")</x:f>
        <x:v>0.44622481083036475</x:v>
      </x:c>
      <x:c r="AD12" s="369" t="n">
        <x:f>IF(ISNUMBER($B12),ABS($B12-'02_Constants'!$D$33)/'02_Constants'!$D$33,"")</x:f>
        <x:v>0.2973252505902689</x:v>
      </x:c>
    </x:row>
    <x:row r="13">
      <x:c r="A13" s="135" t="str">
        <x:f>'06_Laboratory'!B27</x:f>
        <x:v>Brun B₂</x:v>
      </x:c>
      <x:c r="B13" s="365" t="n">
        <x:f>IF('06_Laboratory'!F27="","",'06_Laboratory'!F27)</x:f>
        <x:v>1.9025863214960317</x:v>
      </x:c>
      <x:c r="C13" s="369" t="n">
        <x:f>IF(ISNUMBER($B13),ABS($B13-'02_Constants'!$D$6)/'02_Constants'!$D$6,"")</x:f>
        <x:v>0.39438796454976116</x:v>
      </x:c>
      <x:c r="D13" s="369" t="n">
        <x:f>IF(ISNUMBER($B13),ABS($B13-'02_Constants'!$D$7)/'02_Constants'!$D$7,"")</x:f>
        <x:v>2.2961446426104763</x:v>
      </x:c>
      <x:c r="E13" s="369" t="n">
        <x:f>IF(ISNUMBER($B13),ABS($B13-'02_Constants'!$D$8)/'02_Constants'!$D$8,"")</x:f>
        <x:v>0.09845872487223382</x:v>
      </x:c>
      <x:c r="F13" s="369" t="n">
        <x:f>IF(ISNUMBER($B13),ABS($B13-'02_Constants'!$D$9)/'02_Constants'!$D$9,"")</x:f>
        <x:v>0.22327238678931532</x:v>
      </x:c>
      <x:c r="G13" s="369" t="n">
        <x:f>IF(ISNUMBER($B13),ABS($B13-'02_Constants'!$D$10)/'02_Constants'!$D$10,"")</x:f>
        <x:v>0.34533168972261274</x:v>
      </x:c>
      <x:c r="H13" s="369" t="n">
        <x:f>IF(ISNUMBER($B13),ABS($B13-'02_Constants'!$D$11)/'02_Constants'!$D$11,"")</x:f>
        <x:v>0.1491375304147208</x:v>
      </x:c>
      <x:c r="I13" s="369" t="n">
        <x:f>IF(ISNUMBER($B13),ABS($B13-'02_Constants'!$D$12)/'02_Constants'!$D$12,"")</x:f>
        <x:v>0.034415278695626945</x:v>
      </x:c>
      <x:c r="J13" s="369" t="n">
        <x:f>IF(ISNUMBER($B13),ABS($B13-'02_Constants'!$D$13)/'02_Constants'!$D$13,"")</x:f>
        <x:v>0.00022381832312858997</x:v>
      </x:c>
      <x:c r="K13" s="369" t="n">
        <x:f>IF(ISNUMBER($B13),ABS($B13-'02_Constants'!$D$14)/'02_Constants'!$D$14,"")</x:f>
        <x:v>2.078449334711214</x:v>
      </x:c>
      <x:c r="L13" s="369" t="n">
        <x:f>IF(ISNUMBER($B13),ABS($B13-'02_Constants'!$D$15)/'02_Constants'!$D$15,"")</x:f>
        <x:v>0.17586301321518222</x:v>
      </x:c>
      <x:c r="M13" s="369" t="n">
        <x:f>IF(ISNUMBER($B13),ABS($B13-'02_Constants'!$D$16)/'02_Constants'!$D$16,"")</x:f>
        <x:v>0.30007760726760974</x:v>
      </x:c>
      <x:c r="N13" s="369" t="n">
        <x:f>IF(ISNUMBER($B13),ABS($B13-'02_Constants'!$D$17)/'02_Constants'!$D$17,"")</x:f>
        <x:v>0.10726092191888617</x:v>
      </x:c>
      <x:c r="O13" s="369" t="n">
        <x:f>IF(ISNUMBER($B13),ABS($B13-'02_Constants'!$D$18)/'02_Constants'!$D$18,"")</x:f>
        <x:v>0.4362199222038043</x:v>
      </x:c>
      <x:c r="P13" s="369" t="n">
        <x:f>IF(ISNUMBER($B13),ABS($B13-'02_Constants'!$D$19)/'02_Constants'!$D$19,"")</x:f>
        <x:v>0.21192294205080597</x:v>
      </x:c>
      <x:c r="Q13" s="369" t="n">
        <x:f>IF(ISNUMBER($B13),ABS($B13-'02_Constants'!$D$20)/'02_Constants'!$D$20,"")</x:f>
        <x:v>1.077137322177544</x:v>
      </x:c>
      <x:c r="R13" s="369" t="n">
        <x:f>IF(ISNUMBER($B13),ABS($B13-'02_Constants'!$D$21)/'02_Constants'!$D$21,"")</x:f>
        <x:v>0.5827755878237573</x:v>
      </x:c>
      <x:c r="S13" s="369" t="n">
        <x:f>IF(ISNUMBER($B13),ABS($B13-'02_Constants'!$D$22)/'02_Constants'!$D$22,"")</x:f>
        <x:v>0.2915210099673035</x:v>
      </x:c>
      <x:c r="T13" s="369" t="n">
        <x:f>IF(ISNUMBER($B13),ABS($B13-'02_Constants'!$D$23)/'02_Constants'!$D$23,"")</x:f>
        <x:v>0.5925242727178915</x:v>
      </x:c>
      <x:c r="U13" s="369" t="n">
        <x:f>IF(ISNUMBER($B13),ABS($B13-'02_Constants'!$D$24)/'02_Constants'!$D$24,"")</x:f>
        <x:v>2.3546836463873815</x:v>
      </x:c>
      <x:c r="V13" s="369" t="n">
        <x:f>IF(ISNUMBER($B13),ABS($B13-'02_Constants'!$D$25)/'02_Constants'!$D$25,"")</x:f>
        <x:v>0.4595117348935427</x:v>
      </x:c>
      <x:c r="W13" s="369" t="n">
        <x:f>IF(ISNUMBER($B13),ABS($B13-'02_Constants'!$D$26)/'02_Constants'!$D$26,"")</x:f>
        <x:v>0.28088996364118823</x:v>
      </x:c>
      <x:c r="X13" s="369" t="n">
        <x:f>IF(ISNUMBER($B13),ABS($B13-'02_Constants'!$D$27)/'02_Constants'!$D$27,"")</x:f>
        <x:v>1.7448518508855002</x:v>
      </x:c>
      <x:c r="Y13" s="369" t="n">
        <x:f>IF(ISNUMBER($B13),ABS($B13-'02_Constants'!$D$28)/'02_Constants'!$D$28,"")</x:f>
        <x:v>0.07341938438850376</x:v>
      </x:c>
      <x:c r="Z13" s="369" t="n">
        <x:f>IF(ISNUMBER($B13),ABS($B13-'02_Constants'!$D$29)/'02_Constants'!$D$29,"")</x:f>
        <x:v>0.6861232261079008</x:v>
      </x:c>
      <x:c r="AA13" s="369" t="n">
        <x:f>IF(ISNUMBER($B13),ABS($B13-'02_Constants'!$D$30)/'02_Constants'!$D$30,"")</x:f>
        <x:v>1.1988710470910673</x:v>
      </x:c>
      <x:c r="AB13" s="369" t="n">
        <x:f>IF(ISNUMBER($B13),ABS($B13-'02_Constants'!$D$31)/'02_Constants'!$D$31,"")</x:f>
        <x:v>0.6462241910604792</x:v>
      </x:c>
      <x:c r="AC13" s="369" t="n">
        <x:f>IF(ISNUMBER($B13),ABS($B13-'02_Constants'!$D$32)/'02_Constants'!$D$32,"")</x:f>
        <x:v>0.49572085794653314</x:v>
      </x:c>
      <x:c r="AD13" s="369" t="n">
        <x:f>IF(ISNUMBER($B13),ABS($B13-'02_Constants'!$D$33)/'02_Constants'!$D$33,"")</x:f>
        <x:v>0.2732766917191506</x:v>
      </x:c>
    </x:row>
    <x:row r="14">
      <x:c r="A14" s="135" t="str">
        <x:f>'06_Laboratory'!B28</x:f>
        <x:v>1/φ</x:v>
      </x:c>
      <x:c r="B14" s="365" t="n">
        <x:f>IF('06_Laboratory'!F28="","",'06_Laboratory'!F28)</x:f>
        <x:v>0.6181151430489112</x:v>
      </x:c>
      <x:c r="C14" s="369" t="n">
        <x:f>IF(ISNUMBER($B14),ABS($B14-'02_Constants'!$D$6)/'02_Constants'!$D$6,"")</x:f>
        <x:v>0.8032478391676235</x:v>
      </x:c>
      <x:c r="D14" s="369" t="n">
        <x:f>IF(ISNUMBER($B14),ABS($B14-'02_Constants'!$D$7)/'02_Constants'!$D$7,"")</x:f>
        <x:v>0.07085649374113125</x:v>
      </x:c>
      <x:c r="E14" s="369" t="n">
        <x:f>IF(ISNUMBER($B14),ABS($B14-'02_Constants'!$D$8)/'02_Constants'!$D$8,"")</x:f>
        <x:v>0.643131055770527</x:v>
      </x:c>
      <x:c r="F14" s="369" t="n">
        <x:f>IF(ISNUMBER($B14),ABS($B14-'02_Constants'!$D$9)/'02_Constants'!$D$9,"")</x:f>
        <x:v>0.7476555495404558</x:v>
      </x:c>
      <x:c r="G14" s="369" t="n">
        <x:f>IF(ISNUMBER($B14),ABS($B14-'02_Constants'!$D$10)/'02_Constants'!$D$10,"")</x:f>
        <x:v>0.562926590796022</x:v>
      </x:c>
      <x:c r="H14" s="369" t="n">
        <x:f>IF(ISNUMBER($B14),ABS($B14-'02_Constants'!$D$11)/'02_Constants'!$D$11,"")</x:f>
        <x:v>0.7235705044441255</x:v>
      </x:c>
      <x:c r="I14" s="369" t="n">
        <x:f>IF(ISNUMBER($B14),ABS($B14-'02_Constants'!$D$12)/'02_Constants'!$D$12,"")</x:f>
        <x:v>0.6639375881457158</x:v>
      </x:c>
      <x:c r="J14" s="369" t="n">
        <x:f>IF(ISNUMBER($B14),ABS($B14-'02_Constants'!$D$13)/'02_Constants'!$D$13,"")</x:f>
        <x:v>0.6750457618881717</x:v>
      </x:c>
      <x:c r="K14" s="369" t="n">
        <x:f>IF(ISNUMBER($B14),ABS($B14-'02_Constants'!$D$14)/'02_Constants'!$D$14,"")</x:f>
        <x:v>0.0001313104141416093</x:v>
      </x:c>
      <x:c r="L14" s="369" t="n">
        <x:f>IF(ISNUMBER($B14),ABS($B14-'02_Constants'!$D$15)/'02_Constants'!$D$15,"")</x:f>
        <x:v>0.6179838326347695</x:v>
      </x:c>
      <x:c r="M14" s="369" t="n">
        <x:f>IF(ISNUMBER($B14),ABS($B14-'02_Constants'!$D$16)/'02_Constants'!$D$16,"")</x:f>
        <x:v>0.7726081465955603</x:v>
      </x:c>
      <x:c r="N14" s="369" t="n">
        <x:f>IF(ISNUMBER($B14),ABS($B14-'02_Constants'!$D$17)/'02_Constants'!$D$17,"")</x:f>
        <x:v>0.6402713845823319</x:v>
      </x:c>
      <x:c r="O14" s="369" t="n">
        <x:f>IF(ISNUMBER($B14),ABS($B14-'02_Constants'!$D$18)/'02_Constants'!$D$18,"")</x:f>
        <x:v>0.5333986833434973</x:v>
      </x:c>
      <x:c r="P14" s="369" t="n">
        <x:f>IF(ISNUMBER($B14),ABS($B14-'02_Constants'!$D$19)/'02_Constants'!$D$19,"")</x:f>
        <x:v>0.7439683246409552</x:v>
      </x:c>
      <x:c r="Q14" s="369" t="n">
        <x:f>IF(ISNUMBER($B14),ABS($B14-'02_Constants'!$D$20)/'02_Constants'!$D$20,"")</x:f>
        <x:v>0.3251764618908604</x:v>
      </x:c>
      <x:c r="R14" s="369" t="n">
        <x:f>IF(ISNUMBER($B14),ABS($B14-'02_Constants'!$D$21)/'02_Constants'!$D$21,"")</x:f>
        <x:v>0.485785455393832</x:v>
      </x:c>
      <x:c r="S14" s="369" t="n">
        <x:f>IF(ISNUMBER($B14),ABS($B14-'02_Constants'!$D$22)/'02_Constants'!$D$22,"")</x:f>
        <x:v>0.7698282662271722</x:v>
      </x:c>
      <x:c r="T14" s="369" t="n">
        <x:f>IF(ISNUMBER($B14),ABS($B14-'02_Constants'!$D$23)/'02_Constants'!$D$23,"")</x:f>
        <x:v>0.8676186648604239</x:v>
      </x:c>
      <x:c r="U14" s="369" t="n">
        <x:f>IF(ISNUMBER($B14),ABS($B14-'02_Constants'!$D$24)/'02_Constants'!$D$24,"")</x:f>
        <x:v>0.08987473448252922</x:v>
      </x:c>
      <x:c r="V14" s="369" t="n">
        <x:f>IF(ISNUMBER($B14),ABS($B14-'02_Constants'!$D$25)/'02_Constants'!$D$25,"")</x:f>
        <x:v>0.525831603747726</x:v>
      </x:c>
      <x:c r="W14" s="369" t="n">
        <x:f>IF(ISNUMBER($B14),ABS($B14-'02_Constants'!$D$26)/'02_Constants'!$D$26,"")</x:f>
        <x:v>0.7663744356984952</x:v>
      </x:c>
      <x:c r="X14" s="369" t="n">
        <x:f>IF(ISNUMBER($B14),ABS($B14-'02_Constants'!$D$27)/'02_Constants'!$D$27,"")</x:f>
        <x:v>0.1082483484249635</x:v>
      </x:c>
      <x:c r="Y14" s="369" t="n">
        <x:f>IF(ISNUMBER($B14),ABS($B14-'02_Constants'!$D$28)/'02_Constants'!$D$28,"")</x:f>
        <x:v>0.6512658748586728</x:v>
      </x:c>
      <x:c r="Z14" s="369" t="n">
        <x:f>IF(ISNUMBER($B14),ABS($B14-'02_Constants'!$D$29)/'02_Constants'!$D$29,"")</x:f>
        <x:v>0.45220971719997166</x:v>
      </x:c>
      <x:c r="AA14" s="369" t="n">
        <x:f>IF(ISNUMBER($B14),ABS($B14-'02_Constants'!$D$30)/'02_Constants'!$D$30,"")</x:f>
        <x:v>0.2856274238584453</x:v>
      </x:c>
      <x:c r="AB14" s="369" t="n">
        <x:f>IF(ISNUMBER($B14),ABS($B14-'02_Constants'!$D$31)/'02_Constants'!$D$31,"")</x:f>
        <x:v>0.46517217649929965</x:v>
      </x:c>
      <x:c r="AC14" s="369" t="n">
        <x:f>IF(ISNUMBER($B14),ABS($B14-'02_Constants'!$D$32)/'02_Constants'!$D$32,"")</x:f>
        <x:v>0.5140679286793717</x:v>
      </x:c>
      <x:c r="AD14" s="369" t="n">
        <x:f>IF(ISNUMBER($B14),ABS($B14-'02_Constants'!$D$33)/'02_Constants'!$D$33,"")</x:f>
        <x:v>0.7639010243163191</x:v>
      </x:c>
    </x:row>
    <x:row r="15">
      <x:c r="A15" s="135" t="str">
        <x:f>'06_Laboratory'!B29</x:f>
        <x:v>φ</x:v>
      </x:c>
      <x:c r="B15" s="365" t="n">
        <x:f>IF('06_Laboratory'!F29="","",'06_Laboratory'!F29)</x:f>
        <x:v>1.618590346796805</x:v>
      </x:c>
      <x:c r="C15" s="369" t="n">
        <x:f>IF(ISNUMBER($B15),ABS($B15-'02_Constants'!$D$6)/'02_Constants'!$D$6,"")</x:f>
        <x:v>0.4847866909329267</x:v>
      </x:c>
      <x:c r="D15" s="369" t="n">
        <x:f>IF(ISNUMBER($B15),ABS($B15-'02_Constants'!$D$7)/'02_Constants'!$D$7,"")</x:f>
        <x:v>1.804134477315199</x:v>
      </x:c>
      <x:c r="E15" s="369" t="n">
        <x:f>IF(ISNUMBER($B15),ABS($B15-'02_Constants'!$D$8)/'02_Constants'!$D$8,"")</x:f>
        <x:v>0.06550642756913484</x:v>
      </x:c>
      <x:c r="F15" s="369" t="n">
        <x:f>IF(ISNUMBER($B15),ABS($B15-'02_Constants'!$D$9)/'02_Constants'!$D$9,"")</x:f>
        <x:v>0.3392132579588931</x:v>
      </x:c>
      <x:c r="G15" s="369" t="n">
        <x:f>IF(ISNUMBER($B15),ABS($B15-'02_Constants'!$D$10)/'02_Constants'!$D$10,"")</x:f>
        <x:v>0.1445162101831064</x:v>
      </x:c>
      <x:c r="H15" s="369" t="n">
        <x:f>IF(ISNUMBER($B15),ABS($B15-'02_Constants'!$D$11)/'02_Constants'!$D$11,"")</x:f>
        <x:v>0.27614439136747704</x:v>
      </x:c>
      <x:c r="I15" s="369" t="n">
        <x:f>IF(ISNUMBER($B15),ABS($B15-'02_Constants'!$D$12)/'02_Constants'!$D$12,"")</x:f>
        <x:v>0.11999021239711952</x:v>
      </x:c>
      <x:c r="J15" s="369" t="n">
        <x:f>IF(ISNUMBER($B15),ABS($B15-'02_Constants'!$D$13)/'02_Constants'!$D$13,"")</x:f>
        <x:v>0.1490779689296563</x:v>
      </x:c>
      <x:c r="K15" s="369" t="n">
        <x:f>IF(ISNUMBER($B15),ABS($B15-'02_Constants'!$D$14)/'02_Constants'!$D$14,"")</x:f>
        <x:v>1.6189341949797098</x:v>
      </x:c>
      <x:c r="L15" s="369" t="n">
        <x:f>IF(ISNUMBER($B15),ABS($B15-'02_Constants'!$D$15)/'02_Constants'!$D$15,"")</x:f>
        <x:v>0.0003438481829049635</x:v>
      </x:c>
      <x:c r="M15" s="369" t="n">
        <x:f>IF(ISNUMBER($B15),ABS($B15-'02_Constants'!$D$16)/'02_Constants'!$D$16,"")</x:f>
        <x:v>0.4045538877349003</x:v>
      </x:c>
      <x:c r="N15" s="369" t="n">
        <x:f>IF(ISNUMBER($B15),ABS($B15-'02_Constants'!$D$17)/'02_Constants'!$D$17,"")</x:f>
        <x:v>0.05801812020071432</x:v>
      </x:c>
      <x:c r="O15" s="369" t="n">
        <x:f>IF(ISNUMBER($B15),ABS($B15-'02_Constants'!$D$18)/'02_Constants'!$D$18,"")</x:f>
        <x:v>0.22183770359939725</x:v>
      </x:c>
      <x:c r="P15" s="369" t="n">
        <x:f>IF(ISNUMBER($B15),ABS($B15-'02_Constants'!$D$19)/'02_Constants'!$D$19,"")</x:f>
        <x:v>0.329557926430592</x:v>
      </x:c>
      <x:c r="Q15" s="369" t="n">
        <x:f>IF(ISNUMBER($B15),ABS($B15-'02_Constants'!$D$20)/'02_Constants'!$D$20,"")</x:f>
        <x:v>0.7670864026838585</x:v>
      </x:c>
      <x:c r="R15" s="369" t="n">
        <x:f>IF(ISNUMBER($B15),ABS($B15-'02_Constants'!$D$21)/'02_Constants'!$D$21,"")</x:f>
        <x:v>0.3465172426882265</x:v>
      </x:c>
      <x:c r="S15" s="369" t="n">
        <x:f>IF(ISNUMBER($B15),ABS($B15-'02_Constants'!$D$22)/'02_Constants'!$D$22,"")</x:f>
        <x:v>0.397274519836989</x:v>
      </x:c>
      <x:c r="T15" s="369" t="n">
        <x:f>IF(ISNUMBER($B15),ABS($B15-'02_Constants'!$D$23)/'02_Constants'!$D$23,"")</x:f>
        <x:v>0.6533475137074333</x:v>
      </x:c>
      <x:c r="U15" s="369" t="n">
        <x:f>IF(ISNUMBER($B15),ABS($B15-'02_Constants'!$D$24)/'02_Constants'!$D$24,"")</x:f>
        <x:v>1.8539354589336816</x:v>
      </x:c>
      <x:c r="V15" s="369" t="n">
        <x:f>IF(ISNUMBER($B15),ABS($B15-'02_Constants'!$D$25)/'02_Constants'!$D$25,"")</x:f>
        <x:v>0.2416527851823269</x:v>
      </x:c>
      <x:c r="W15" s="369" t="n">
        <x:f>IF(ISNUMBER($B15),ABS($B15-'02_Constants'!$D$26)/'02_Constants'!$D$26,"")</x:f>
        <x:v>0.3882303525551233</x:v>
      </x:c>
      <x:c r="X15" s="369" t="n">
        <x:f>IF(ISNUMBER($B15),ABS($B15-'02_Constants'!$D$27)/'02_Constants'!$D$27,"")</x:f>
        <x:v>1.3351322665544982</x:v>
      </x:c>
      <x:c r="Y15" s="369" t="n">
        <x:f>IF(ISNUMBER($B15),ABS($B15-'02_Constants'!$D$28)/'02_Constants'!$D$28,"")</x:f>
        <x:v>0.08680818630629207</x:v>
      </x:c>
      <x:c r="Z15" s="369" t="n">
        <x:f>IF(ISNUMBER($B15),ABS($B15-'02_Constants'!$D$29)/'02_Constants'!$D$29,"")</x:f>
        <x:v>0.4344383466092459</x:v>
      </x:c>
      <x:c r="AA15" s="369" t="n">
        <x:f>IF(ISNUMBER($B15),ABS($B15-'02_Constants'!$D$30)/'02_Constants'!$D$30,"")</x:f>
        <x:v>0.8706491319006404</x:v>
      </x:c>
      <x:c r="AB15" s="369" t="n">
        <x:f>IF(ISNUMBER($B15),ABS($B15-'02_Constants'!$D$31)/'02_Constants'!$D$31,"")</x:f>
        <x:v>0.4004949758172791</x:v>
      </x:c>
      <x:c r="AC15" s="369" t="n">
        <x:f>IF(ISNUMBER($B15),ABS($B15-'02_Constants'!$D$32)/'02_Constants'!$D$32,"")</x:f>
        <x:v>0.2724570311591738</x:v>
      </x:c>
      <x:c r="AD15" s="369" t="n">
        <x:f>IF(ISNUMBER($B15),ABS($B15-'02_Constants'!$D$33)/'02_Constants'!$D$33,"")</x:f>
        <x:v>0.3817535013861</x:v>
      </x:c>
    </x:row>
    <x:row r="16">
      <x:c r="A16" s="135" t="str">
        <x:f>'06_Laboratory'!B30</x:f>
        <x:v>e from angles</x:v>
      </x:c>
      <x:c r="B16" s="365" t="n">
        <x:f>IF('06_Laboratory'!F30="","",'06_Laboratory'!F30)</x:f>
        <x:v>2.7173239802387594</x:v>
      </x:c>
      <x:c r="C16" s="369" t="n">
        <x:f>IF(ISNUMBER($B16),ABS($B16-'02_Constants'!$D$6)/'02_Constants'!$D$6,"")</x:f>
        <x:v>0.1350489131257154</x:v>
      </x:c>
      <x:c r="D16" s="369" t="n">
        <x:f>IF(ISNUMBER($B16),ABS($B16-'02_Constants'!$D$7)/'02_Constants'!$D$7,"")</x:f>
        <x:v>3.7076407406619976</x:v>
      </x:c>
      <x:c r="E16" s="369" t="n">
        <x:f>IF(ISNUMBER($B16),ABS($B16-'02_Constants'!$D$8)/'02_Constants'!$D$8,"")</x:f>
        <x:v>0.5688477314662732</x:v>
      </x:c>
      <x:c r="F16" s="369" t="n">
        <x:f>IF(ISNUMBER($B16),ABS($B16-'02_Constants'!$D$9)/'02_Constants'!$D$9,"")</x:f>
        <x:v>0.10934286956893352</x:v>
      </x:c>
      <x:c r="G16" s="369" t="n">
        <x:f>IF(ISNUMBER($B16),ABS($B16-'02_Constants'!$D$10)/'02_Constants'!$D$10,"")</x:f>
        <x:v>0.9214382131076467</x:v>
      </x:c>
      <x:c r="H16" s="369" t="n">
        <x:f>IF(ISNUMBER($B16),ABS($B16-'02_Constants'!$D$11)/'02_Constants'!$D$11,"")</x:f>
        <x:v>0.2152242273408322</x:v>
      </x:c>
      <x:c r="I16" s="369" t="n">
        <x:f>IF(ISNUMBER($B16),ABS($B16-'02_Constants'!$D$12)/'02_Constants'!$D$12,"")</x:f>
        <x:v>0.4773791919805145</x:v>
      </x:c>
      <x:c r="J16" s="369" t="n">
        <x:f>IF(ISNUMBER($B16),ABS($B16-'02_Constants'!$D$13)/'02_Constants'!$D$13,"")</x:f>
        <x:v>0.4285460462042339</x:v>
      </x:c>
      <x:c r="K16" s="369" t="n">
        <x:f>IF(ISNUMBER($B16),ABS($B16-'02_Constants'!$D$14)/'02_Constants'!$D$14,"")</x:f>
        <x:v>3.3967225584714598</x:v>
      </x:c>
      <x:c r="L16" s="369" t="n">
        <x:f>IF(ISNUMBER($B16),ABS($B16-'02_Constants'!$D$15)/'02_Constants'!$D$15,"")</x:f>
        <x:v>0.6793985782327009</x:v>
      </x:c>
      <x:c r="M16" s="369" t="n">
        <x:f>IF(ISNUMBER($B16),ABS($B16-'02_Constants'!$D$16)/'02_Constants'!$D$16,"")</x:f>
        <x:v>0.00035237266800574994</x:v>
      </x:c>
      <x:c r="N16" s="369" t="n">
        <x:f>IF(ISNUMBER($B16),ABS($B16-'02_Constants'!$D$17)/'02_Constants'!$D$17,"")</x:f>
        <x:v>0.581419261516404</x:v>
      </x:c>
      <x:c r="O16" s="369" t="n">
        <x:f>IF(ISNUMBER($B16),ABS($B16-'02_Constants'!$D$18)/'02_Constants'!$D$18,"")</x:f>
        <x:v>1.051247184638809</x:v>
      </x:c>
      <x:c r="P16" s="369" t="n">
        <x:f>IF(ISNUMBER($B16),ABS($B16-'02_Constants'!$D$19)/'02_Constants'!$D$19,"")</x:f>
        <x:v>0.12555244597653434</x:v>
      </x:c>
      <x:c r="Q16" s="369" t="n">
        <x:f>IF(ISNUMBER($B16),ABS($B16-'02_Constants'!$D$20)/'02_Constants'!$D$20,"")</x:f>
        <x:v>1.966622324585936</x:v>
      </x:c>
      <x:c r="R16" s="369" t="n">
        <x:f>IF(ISNUMBER($B16),ABS($B16-'02_Constants'!$D$21)/'02_Constants'!$D$21,"")</x:f>
        <x:v>1.2605618528509772</x:v>
      </x:c>
      <x:c r="S16" s="369" t="n">
        <x:f>IF(ISNUMBER($B16),ABS($B16-'02_Constants'!$D$22)/'02_Constants'!$D$22,"")</x:f>
        <x:v>0.011868385344742775</x:v>
      </x:c>
      <x:c r="T16" s="369" t="n">
        <x:f>IF(ISNUMBER($B16),ABS($B16-'02_Constants'!$D$23)/'02_Constants'!$D$23,"")</x:f>
        <x:v>0.4180324158757433</x:v>
      </x:c>
      <x:c r="U16" s="369" t="n">
        <x:f>IF(ISNUMBER($B16),ABS($B16-'02_Constants'!$D$24)/'02_Constants'!$D$24,"")</x:f>
        <x:v>3.7912476902889622</x:v>
      </x:c>
      <x:c r="V16" s="369" t="n">
        <x:f>IF(ISNUMBER($B16),ABS($B16-'02_Constants'!$D$25)/'02_Constants'!$D$25,"")</x:f>
        <x:v>1.0845131660294922</x:v>
      </x:c>
      <x:c r="W16" s="369" t="n">
        <x:f>IF(ISNUMBER($B16),ABS($B16-'02_Constants'!$D$26)/'02_Constants'!$D$26,"")</x:f>
        <x:v>0.027051926186278438</x:v>
      </x:c>
      <x:c r="X16" s="369" t="n">
        <x:f>IF(ISNUMBER($B16),ABS($B16-'02_Constants'!$D$27)/'02_Constants'!$D$27,"")</x:f>
        <x:v>2.9202698307791177</x:v>
      </x:c>
      <x:c r="Y16" s="369" t="n">
        <x:f>IF(ISNUMBER($B16),ABS($B16-'02_Constants'!$D$28)/'02_Constants'!$D$28,"")</x:f>
        <x:v>0.5330858847752373</x:v>
      </x:c>
      <x:c r="Z16" s="369" t="n">
        <x:f>IF(ISNUMBER($B16),ABS($B16-'02_Constants'!$D$29)/'02_Constants'!$D$29,"")</x:f>
        <x:v>1.4081656764660468</x:v>
      </x:c>
      <x:c r="AA16" s="369" t="n">
        <x:f>IF(ISNUMBER($B16),ABS($B16-'02_Constants'!$D$30)/'02_Constants'!$D$30,"")</x:f>
        <x:v>2.1404856422046605</x:v>
      </x:c>
      <x:c r="AB16" s="369" t="n">
        <x:f>IF(ISNUMBER($B16),ABS($B16-'02_Constants'!$D$31)/'02_Constants'!$D$31,"")</x:f>
        <x:v>1.3511808219562687</x:v>
      </x:c>
      <x:c r="AC16" s="369" t="n">
        <x:f>IF(ISNUMBER($B16),ABS($B16-'02_Constants'!$D$32)/'02_Constants'!$D$32,"")</x:f>
        <x:v>1.136227990877986</x:v>
      </x:c>
      <x:c r="AD16" s="369" t="n">
        <x:f>IF(ISNUMBER($B16),ABS($B16-'02_Constants'!$D$33)/'02_Constants'!$D$33,"")</x:f>
        <x:v>0.03792540200605847</x:v>
      </x:c>
    </x:row>
    <x:row r="17">
      <x:c r="A17" s="135" t="str">
        <x:f>'06_Laboratory'!B31</x:f>
        <x:v>e−1</x:v>
      </x:c>
      <x:c r="B17" s="365" t="n">
        <x:f>IF('06_Laboratory'!F31="","",'06_Laboratory'!F31)</x:f>
        <x:v>1.7173239802387594</x:v>
      </x:c>
      <x:c r="C17" s="369" t="n">
        <x:f>IF(ISNUMBER($B17),ABS($B17-'02_Constants'!$D$6)/'02_Constants'!$D$6,"")</x:f>
        <x:v>0.45335879930950607</x:v>
      </x:c>
      <x:c r="D17" s="369" t="n">
        <x:f>IF(ISNUMBER($B17),ABS($B17-'02_Constants'!$D$7)/'02_Constants'!$D$7,"")</x:f>
        <x:v>1.975186026061364</x:v>
      </x:c>
      <x:c r="E17" s="369" t="n">
        <x:f>IF(ISNUMBER($B17),ABS($B17-'02_Constants'!$D$8)/'02_Constants'!$D$8,"")</x:f>
        <x:v>0.008502537723352629</x:v>
      </x:c>
      <x:c r="F17" s="369" t="n">
        <x:f>IF(ISNUMBER($B17),ABS($B17-'02_Constants'!$D$9)/'02_Constants'!$D$9,"")</x:f>
        <x:v>0.29890542089492955</x:v>
      </x:c>
      <x:c r="G17" s="369" t="n">
        <x:f>IF(ISNUMBER($B17),ABS($B17-'02_Constants'!$D$10)/'02_Constants'!$D$10,"")</x:f>
        <x:v>0.21433143192109924</x:v>
      </x:c>
      <x:c r="H17" s="369" t="n">
        <x:f>IF(ISNUMBER($B17),ABS($B17-'02_Constants'!$D$11)/'02_Constants'!$D$11,"")</x:f>
        <x:v>0.23198936815912571</x:v>
      </x:c>
      <x:c r="I17" s="369" t="n">
        <x:f>IF(ISNUMBER($B17),ABS($B17-'02_Constants'!$D$12)/'02_Constants'!$D$12,"")</x:f>
        <x:v>0.06630982071156194</x:v>
      </x:c>
      <x:c r="J17" s="369" t="n">
        <x:f>IF(ISNUMBER($B17),ABS($B17-'02_Constants'!$D$13)/'02_Constants'!$D$13,"")</x:f>
        <x:v>0.09717192360469323</x:v>
      </x:c>
      <x:c r="K17" s="369" t="n">
        <x:f>IF(ISNUMBER($B17),ABS($B17-'02_Constants'!$D$14)/'02_Constants'!$D$14,"")</x:f>
        <x:v>1.7786885697215653</x:v>
      </x:c>
      <x:c r="L17" s="369" t="n">
        <x:f>IF(ISNUMBER($B17),ABS($B17-'02_Constants'!$D$15)/'02_Constants'!$D$15,"")</x:f>
        <x:v>0.06136458948280605</x:v>
      </x:c>
      <x:c r="M17" s="369" t="n">
        <x:f>IF(ISNUMBER($B17),ABS($B17-'02_Constants'!$D$16)/'02_Constants'!$D$16,"")</x:f>
        <x:v>0.3682318138394481</x:v>
      </x:c>
      <x:c r="N17" s="369" t="n">
        <x:f>IF(ISNUMBER($B17),ABS($B17-'02_Constants'!$D$17)/'02_Constants'!$D$17,"")</x:f>
        <x:v>0.0005574453529224948</x:v>
      </x:c>
      <x:c r="O17" s="369" t="n">
        <x:f>IF(ISNUMBER($B17),ABS($B17-'02_Constants'!$D$18)/'02_Constants'!$D$18,"")</x:f>
        <x:v>0.2963695183921162</x:v>
      </x:c>
      <x:c r="P17" s="369" t="n">
        <x:f>IF(ISNUMBER($B17),ABS($B17-'02_Constants'!$D$19)/'02_Constants'!$D$19,"")</x:f>
        <x:v>0.2886611163965607</x:v>
      </x:c>
      <x:c r="Q17" s="369" t="n">
        <x:f>IF(ISNUMBER($B17),ABS($B17-'02_Constants'!$D$20)/'02_Constants'!$D$20,"")</x:f>
        <x:v>0.8748782608820298</x:v>
      </x:c>
      <x:c r="R17" s="369" t="n">
        <x:f>IF(ISNUMBER($B17),ABS($B17-'02_Constants'!$D$21)/'02_Constants'!$D$21,"")</x:f>
        <x:v>0.4286544802702695</x:v>
      </x:c>
      <x:c r="S17" s="369" t="n">
        <x:f>IF(ISNUMBER($B17),ABS($B17-'02_Constants'!$D$22)/'02_Constants'!$D$22,"")</x:f>
        <x:v>0.36050840619847035</x:v>
      </x:c>
      <x:c r="T17" s="369" t="n">
        <x:f>IF(ISNUMBER($B17),ABS($B17-'02_Constants'!$D$23)/'02_Constants'!$D$23,"")</x:f>
        <x:v>0.6322017929380698</x:v>
      </x:c>
      <x:c r="U17" s="369" t="n">
        <x:f>IF(ISNUMBER($B17),ABS($B17-'02_Constants'!$D$24)/'02_Constants'!$D$24,"")</x:f>
        <x:v>2.0280248559370655</x:v>
      </x:c>
      <x:c r="V17" s="369" t="n">
        <x:f>IF(ISNUMBER($B17),ABS($B17-'02_Constants'!$D$25)/'02_Constants'!$D$25,"")</x:f>
        <x:v>0.31739331532757664</x:v>
      </x:c>
      <x:c r="W17" s="369" t="n">
        <x:f>IF(ISNUMBER($B17),ABS($B17-'02_Constants'!$D$26)/'02_Constants'!$D$26,"")</x:f>
        <x:v>0.35091254682294876</x:v>
      </x:c>
      <x:c r="X17" s="369" t="n">
        <x:f>IF(ISNUMBER($B17),ABS($B17-'02_Constants'!$D$27)/'02_Constants'!$D$27,"")</x:f>
        <x:v>1.4775747898901543</x:v>
      </x:c>
      <x:c r="Y17" s="369" t="n">
        <x:f>IF(ISNUMBER($B17),ABS($B17-'02_Constants'!$D$28)/'02_Constants'!$D$28,"")</x:f>
        <x:v>0.031103698772518992</x:v>
      </x:c>
      <x:c r="Z17" s="369" t="n">
        <x:f>IF(ISNUMBER($B17),ABS($B17-'02_Constants'!$D$29)/'02_Constants'!$D$29,"")</x:f>
        <x:v>0.5219387510132888</x:v>
      </x:c>
      <x:c r="AA17" s="369" t="n">
        <x:f>IF(ISNUMBER($B17),ABS($B17-'02_Constants'!$D$30)/'02_Constants'!$D$30,"")</x:f>
        <x:v>0.9847582924137387</x:v>
      </x:c>
      <x:c r="AB17" s="369" t="n">
        <x:f>IF(ISNUMBER($B17),ABS($B17-'02_Constants'!$D$31)/'02_Constants'!$D$31,"")</x:f>
        <x:v>0.48592484252400364</x:v>
      </x:c>
      <x:c r="AC17" s="369" t="n">
        <x:f>IF(ISNUMBER($B17),ABS($B17-'02_Constants'!$D$32)/'02_Constants'!$D$32,"")</x:f>
        <x:v>0.35007661312056265</x:v>
      </x:c>
      <x:c r="AD17" s="369" t="n">
        <x:f>IF(ISNUMBER($B17),ABS($B17-'02_Constants'!$D$33)/'02_Constants'!$D$33,"")</x:f>
        <x:v>0.34404060924404667</x:v>
      </x:c>
    </x:row>
    <x:row r="18">
      <x:c r="A18" s="135" t="str">
        <x:f>'06_Laboratory'!B32</x:f>
        <x:v>B/H ratio</x:v>
      </x:c>
      <x:c r="B18" s="365" t="n">
        <x:f>IF('06_Laboratory'!F32="","",'06_Laboratory'!F32)</x:f>
        <x:v>1.5714285714285714</x:v>
      </x:c>
      <x:c r="C18" s="369" t="n">
        <x:f>IF(ISNUMBER($B18),ABS($B18-'02_Constants'!$D$6)/'02_Constants'!$D$6,"")</x:f>
        <x:v>0.49979875028261467</x:v>
      </x:c>
      <x:c r="D18" s="369" t="n">
        <x:f>IF(ISNUMBER($B18),ABS($B18-'02_Constants'!$D$7)/'02_Constants'!$D$7,"")</x:f>
        <x:v>1.7224288372295669</x:v>
      </x:c>
      <x:c r="E18" s="369" t="n">
        <x:f>IF(ISNUMBER($B18),ABS($B18-'02_Constants'!$D$8)/'02_Constants'!$D$8,"")</x:f>
        <x:v>0.0927352912734452</x:v>
      </x:c>
      <x:c r="F18" s="369" t="n">
        <x:f>IF(ISNUMBER($B18),ABS($B18-'02_Constants'!$D$9)/'02_Constants'!$D$9,"")</x:f>
        <x:v>0.3584669721282152</x:v>
      </x:c>
      <x:c r="G18" s="369" t="n">
        <x:f>IF(ISNUMBER($B18),ABS($B18-'02_Constants'!$D$10)/'02_Constants'!$D$10,"")</x:f>
        <x:v>0.11116779900743172</x:v>
      </x:c>
      <x:c r="H18" s="369" t="n">
        <x:f>IF(ISNUMBER($B18),ABS($B18-'02_Constants'!$D$11)/'02_Constants'!$D$11,"")</x:f>
        <x:v>0.29723577850006616</x:v>
      </x:c>
      <x:c r="I18" s="369" t="n">
        <x:f>IF(ISNUMBER($B18),ABS($B18-'02_Constants'!$D$12)/'02_Constants'!$D$12,"")</x:f>
        <x:v>0.14563155148387993</x:v>
      </x:c>
      <x:c r="J18" s="369" t="n">
        <x:f>IF(ISNUMBER($B18),ABS($B18-'02_Constants'!$D$13)/'02_Constants'!$D$13,"")</x:f>
        <x:v>0.17387176172882876</x:v>
      </x:c>
      <x:c r="K18" s="369" t="n">
        <x:f>IF(ISNUMBER($B18),ABS($B18-'02_Constants'!$D$14)/'02_Constants'!$D$14,"")</x:f>
        <x:v>1.5426248394641202</x:v>
      </x:c>
      <x:c r="L18" s="369" t="n">
        <x:f>IF(ISNUMBER($B18),ABS($B18-'02_Constants'!$D$15)/'02_Constants'!$D$15,"")</x:f>
        <x:v>0.028803731964451004</x:v>
      </x:c>
      <x:c r="M18" s="369" t="n">
        <x:f>IF(ISNUMBER($B18),ABS($B18-'02_Constants'!$D$16)/'02_Constants'!$D$16,"")</x:f>
        <x:v>0.4219037353020192</x:v>
      </x:c>
      <x:c r="N18" s="369" t="n">
        <x:f>IF(ISNUMBER($B18),ABS($B18-'02_Constants'!$D$17)/'02_Constants'!$D$17,"")</x:f>
        <x:v>0.08546517491962985</x:v>
      </x:c>
      <x:c r="O18" s="369" t="n">
        <x:f>IF(ISNUMBER($B18),ABS($B18-'02_Constants'!$D$18)/'02_Constants'!$D$18,"")</x:f>
        <x:v>0.18623633267337428</x:v>
      </x:c>
      <x:c r="P18" s="369" t="n">
        <x:f>IF(ISNUMBER($B18),ABS($B18-'02_Constants'!$D$19)/'02_Constants'!$D$19,"")</x:f>
        <x:v>0.34909297341370776</x:v>
      </x:c>
      <x:c r="Q18" s="369" t="n">
        <x:f>IF(ISNUMBER($B18),ABS($B18-'02_Constants'!$D$20)/'02_Constants'!$D$20,"")</x:f>
        <x:v>0.7155978143918524</x:v>
      </x:c>
      <x:c r="R18" s="369" t="n">
        <x:f>IF(ISNUMBER($B18),ABS($B18-'02_Constants'!$D$21)/'02_Constants'!$D$21,"")</x:f>
        <x:v>0.3072830140553977</x:v>
      </x:c>
      <x:c r="S18" s="369" t="n">
        <x:f>IF(ISNUMBER($B18),ABS($B18-'02_Constants'!$D$22)/'02_Constants'!$D$22,"")</x:f>
        <x:v>0.41483647043209365</x:v>
      </x:c>
      <x:c r="T18" s="369" t="n">
        <x:f>IF(ISNUMBER($B18),ABS($B18-'02_Constants'!$D$23)/'02_Constants'!$D$23,"")</x:f>
        <x:v>0.6634481217592013</x:v>
      </x:c>
      <x:c r="U18" s="369" t="n">
        <x:f>IF(ISNUMBER($B18),ABS($B18-'02_Constants'!$D$24)/'02_Constants'!$D$24,"")</x:f>
        <x:v>1.7707787396958372</x:v>
      </x:c>
      <x:c r="V18" s="369" t="n">
        <x:f>IF(ISNUMBER($B18),ABS($B18-'02_Constants'!$D$25)/'02_Constants'!$D$25,"")</x:f>
        <x:v>0.20547405110301026</x:v>
      </x:c>
      <x:c r="W18" s="369" t="n">
        <x:f>IF(ISNUMBER($B18),ABS($B18-'02_Constants'!$D$26)/'02_Constants'!$D$26,"")</x:f>
        <x:v>0.4060558281283573</x:v>
      </x:c>
      <x:c r="X18" s="369" t="n">
        <x:f>IF(ISNUMBER($B18),ABS($B18-'02_Constants'!$D$27)/'02_Constants'!$D$27,"")</x:f>
        <x:v>1.2670922071112283</x:v>
      </x:c>
      <x:c r="Y18" s="369" t="n">
        <x:f>IF(ISNUMBER($B18),ABS($B18-'02_Constants'!$D$28)/'02_Constants'!$D$28,"")</x:f>
        <x:v>0.11341636871066864</x:v>
      </x:c>
      <x:c r="Z18" s="369" t="n">
        <x:f>IF(ISNUMBER($B18),ABS($B18-'02_Constants'!$D$29)/'02_Constants'!$D$29,"")</x:f>
        <x:v>0.39264231142576256</x:v>
      </x:c>
      <x:c r="AA18" s="369" t="n">
        <x:f>IF(ISNUMBER($B18),ABS($B18-'02_Constants'!$D$30)/'02_Constants'!$D$30,"")</x:f>
        <x:v>0.816142978242877</x:v>
      </x:c>
      <x:c r="AB18" s="369" t="n">
        <x:f>IF(ISNUMBER($B18),ABS($B18-'02_Constants'!$D$31)/'02_Constants'!$D$31,"")</x:f>
        <x:v>0.3596879676792737</x:v>
      </x:c>
      <x:c r="AC18" s="369" t="n">
        <x:f>IF(ISNUMBER($B18),ABS($B18-'02_Constants'!$D$32)/'02_Constants'!$D$32,"")</x:f>
        <x:v>0.23538073647595084</x:v>
      </x:c>
      <x:c r="AD18" s="369" t="n">
        <x:f>IF(ISNUMBER($B18),ABS($B18-'02_Constants'!$D$33)/'02_Constants'!$D$33,"")</x:f>
        <x:v>0.39976769660697764</x:v>
      </x:c>
    </x:row>
    <x:row r="19">
      <x:c r="A19" s="135" t="str">
        <x:f>'06_Laboratory'!B33</x:f>
        <x:v>Slenderness H/B</x:v>
      </x:c>
      <x:c r="B19" s="365" t="n">
        <x:f>IF('06_Laboratory'!F33="","",'06_Laboratory'!F33)</x:f>
        <x:v>0.6363636363636364</x:v>
      </x:c>
      <x:c r="C19" s="369" t="n">
        <x:f>IF(ISNUMBER($B19),ABS($B19-'02_Constants'!$D$6)/'02_Constants'!$D$6,"")</x:f>
        <x:v>0.7974391633375878</x:v>
      </x:c>
      <x:c r="D19" s="369" t="n">
        <x:f>IF(ISNUMBER($B19),ABS($B19-'02_Constants'!$D$7)/'02_Constants'!$D$7,"")</x:f>
        <x:v>0.1024711820185849</x:v>
      </x:c>
      <x:c r="E19" s="369" t="n">
        <x:f>IF(ISNUMBER($B19),ABS($B19-'02_Constants'!$D$8)/'02_Constants'!$D$8,"")</x:f>
        <x:v>0.6325952832429654</x:v>
      </x:c>
      <x:c r="F19" s="369" t="n">
        <x:f>IF(ISNUMBER($B19),ABS($B19-'02_Constants'!$D$9)/'02_Constants'!$D$9,"")</x:f>
        <x:v>0.7402056333411781</x:v>
      </x:c>
      <x:c r="G19" s="369" t="n">
        <x:f>IF(ISNUMBER($B19),ABS($B19-'02_Constants'!$D$10)/'02_Constants'!$D$10,"")</x:f>
        <x:v>0.5500229574267426</x:v>
      </x:c>
      <x:c r="H19" s="369" t="n">
        <x:f>IF(ISNUMBER($B19),ABS($B19-'02_Constants'!$D$11)/'02_Constants'!$D$11,"")</x:f>
        <x:v>0.7154095301363905</x:v>
      </x:c>
      <x:c r="I19" s="369" t="n">
        <x:f>IF(ISNUMBER($B19),ABS($B19-'02_Constants'!$D$12)/'02_Constants'!$D$12,"")</x:f>
        <x:v>0.654016082832315</x:v>
      </x:c>
      <x:c r="J19" s="369" t="n">
        <x:f>IF(ISNUMBER($B19),ABS($B19-'02_Constants'!$D$13)/'02_Constants'!$D$13,"")</x:f>
        <x:v>0.6654522010306828</x:v>
      </x:c>
      <x:c r="K19" s="369" t="n">
        <x:f>IF(ISNUMBER($B19),ABS($B19-'02_Constants'!$D$14)/'02_Constants'!$D$14,"")</x:f>
        <x:v>0.02965799284084207</x:v>
      </x:c>
      <x:c r="L19" s="369" t="n">
        <x:f>IF(ISNUMBER($B19),ABS($B19-'02_Constants'!$D$15)/'02_Constants'!$D$15,"")</x:f>
        <x:v>0.6067056435227942</x:v>
      </x:c>
      <x:c r="M19" s="369" t="n">
        <x:f>IF(ISNUMBER($B19),ABS($B19-'02_Constants'!$D$16)/'02_Constants'!$D$16,"")</x:f>
        <x:v>0.7658949010727185</x:v>
      </x:c>
      <x:c r="N19" s="369" t="n">
        <x:f>IF(ISNUMBER($B19),ABS($B19-'02_Constants'!$D$17)/'02_Constants'!$D$17,"")</x:f>
        <x:v>0.6296511865377014</x:v>
      </x:c>
      <x:c r="O19" s="369" t="n">
        <x:f>IF(ISNUMBER($B19),ABS($B19-'02_Constants'!$D$18)/'02_Constants'!$D$18,"")</x:f>
        <x:v>0.5196233032975591</x:v>
      </x:c>
      <x:c r="P19" s="369" t="n">
        <x:f>IF(ISNUMBER($B19),ABS($B19-'02_Constants'!$D$19)/'02_Constants'!$D$19,"")</x:f>
        <x:v>0.7364095512171214</x:v>
      </x:c>
      <x:c r="Q19" s="369" t="n">
        <x:f>IF(ISNUMBER($B19),ABS($B19-'02_Constants'!$D$20)/'02_Constants'!$D$20,"")</x:f>
        <x:v>0.30525377764296885</x:v>
      </x:c>
      <x:c r="R19" s="369" t="n">
        <x:f>IF(ISNUMBER($B19),ABS($B19-'02_Constants'!$D$21)/'02_Constants'!$D$21,"")</x:f>
        <x:v>0.4706043992668224</x:v>
      </x:c>
      <x:c r="S19" s="369" t="n">
        <x:f>IF(ISNUMBER($B19),ABS($B19-'02_Constants'!$D$22)/'02_Constants'!$D$22,"")</x:f>
        <x:v>0.7630329508361371</x:v>
      </x:c>
      <x:c r="T19" s="369" t="n">
        <x:f>IF(ISNUMBER($B19),ABS($B19-'02_Constants'!$D$23)/'02_Constants'!$D$23,"")</x:f>
        <x:v>0.8637103964148831</x:v>
      </x:c>
      <x:c r="U19" s="369" t="n">
        <x:f>IF(ISNUMBER($B19),ABS($B19-'02_Constants'!$D$24)/'02_Constants'!$D$24,"")</x:f>
        <x:v>0.12205089458757046</x:v>
      </x:c>
      <x:c r="V19" s="369" t="n">
        <x:f>IF(ISNUMBER($B19),ABS($B19-'02_Constants'!$D$25)/'02_Constants'!$D$25,"")</x:f>
        <x:v>0.5118328222805991</x:v>
      </x:c>
      <x:c r="W19" s="369" t="n">
        <x:f>IF(ISNUMBER($B19),ABS($B19-'02_Constants'!$D$26)/'02_Constants'!$D$26,"")</x:f>
        <x:v>0.7594771535395828</x:v>
      </x:c>
      <x:c r="X19" s="369" t="n">
        <x:f>IF(ISNUMBER($B19),ABS($B19-'02_Constants'!$D$27)/'02_Constants'!$D$27,"")</x:f>
        <x:v>0.08192133761611418</x:v>
      </x:c>
      <x:c r="Y19" s="369" t="n">
        <x:f>IF(ISNUMBER($B19),ABS($B19-'02_Constants'!$D$28)/'02_Constants'!$D$28,"")</x:f>
        <x:v>0.6409702650150643</x:v>
      </x:c>
      <x:c r="Z19" s="369" t="n">
        <x:f>IF(ISNUMBER($B19),ABS($B19-'02_Constants'!$D$29)/'02_Constants'!$D$29,"")</x:f>
        <x:v>0.43603741107551763</x:v>
      </x:c>
      <x:c r="AA19" s="369" t="n">
        <x:f>IF(ISNUMBER($B19),ABS($B19-'02_Constants'!$D$30)/'02_Constants'!$D$30,"")</x:f>
        <x:v>0.2645371410421407</x:v>
      </x:c>
      <x:c r="AB19" s="369" t="n">
        <x:f>IF(ISNUMBER($B19),ABS($B19-'02_Constants'!$D$31)/'02_Constants'!$D$31,"")</x:f>
        <x:v>0.44938255854310405</x:v>
      </x:c>
      <x:c r="AC19" s="369" t="n">
        <x:f>IF(ISNUMBER($B19),ABS($B19-'02_Constants'!$D$32)/'02_Constants'!$D$32,"")</x:f>
        <x:v>0.4997218505180034</x:v>
      </x:c>
      <x:c r="AD19" s="369" t="n">
        <x:f>IF(ISNUMBER($B19),ABS($B19-'02_Constants'!$D$33)/'02_Constants'!$D$33,"")</x:f>
        <x:v>0.7569307201135695</x:v>
      </x:c>
    </x:row>
    <x:row r="20">
      <x:c r="A20" s="135" t="str">
        <x:f>'06_Laboratory'!B34</x:f>
        <x:v>Height / half-base</x:v>
      </x:c>
      <x:c r="B20" s="365" t="n">
        <x:f>IF('06_Laboratory'!F34="","",'06_Laboratory'!F34)</x:f>
        <x:v>1.2727272727272727</x:v>
      </x:c>
      <x:c r="C20" s="369" t="n">
        <x:f>IF(ISNUMBER($B20),ABS($B20-'02_Constants'!$D$6)/'02_Constants'!$D$6,"")</x:f>
        <x:v>0.5948783266751755</x:v>
      </x:c>
      <x:c r="D20" s="369" t="n">
        <x:f>IF(ISNUMBER($B20),ABS($B20-'02_Constants'!$D$7)/'02_Constants'!$D$7,"")</x:f>
        <x:v>1.20494236403717</x:v>
      </x:c>
      <x:c r="E20" s="369" t="n">
        <x:f>IF(ISNUMBER($B20),ABS($B20-'02_Constants'!$D$8)/'02_Constants'!$D$8,"")</x:f>
        <x:v>0.2651905664859308</x:v>
      </x:c>
      <x:c r="F20" s="369" t="n">
        <x:f>IF(ISNUMBER($B20),ABS($B20-'02_Constants'!$D$9)/'02_Constants'!$D$9,"")</x:f>
        <x:v>0.4804112666823561</x:v>
      </x:c>
      <x:c r="G20" s="369" t="n">
        <x:f>IF(ISNUMBER($B20),ABS($B20-'02_Constants'!$D$10)/'02_Constants'!$D$10,"")</x:f>
        <x:v>0.10004591485348505</x:v>
      </x:c>
      <x:c r="H20" s="369" t="n">
        <x:f>IF(ISNUMBER($B20),ABS($B20-'02_Constants'!$D$11)/'02_Constants'!$D$11,"")</x:f>
        <x:v>0.43081906027278083</x:v>
      </x:c>
      <x:c r="I20" s="369" t="n">
        <x:f>IF(ISNUMBER($B20),ABS($B20-'02_Constants'!$D$12)/'02_Constants'!$D$12,"")</x:f>
        <x:v>0.30803216566463004</x:v>
      </x:c>
      <x:c r="J20" s="369" t="n">
        <x:f>IF(ISNUMBER($B20),ABS($B20-'02_Constants'!$D$13)/'02_Constants'!$D$13,"")</x:f>
        <x:v>0.33090440206136545</x:v>
      </x:c>
      <x:c r="K20" s="369" t="n">
        <x:f>IF(ISNUMBER($B20),ABS($B20-'02_Constants'!$D$14)/'02_Constants'!$D$14,"")</x:f>
        <x:v>1.059315985681684</x:v>
      </x:c>
      <x:c r="L20" s="369" t="n">
        <x:f>IF(ISNUMBER($B20),ABS($B20-'02_Constants'!$D$15)/'02_Constants'!$D$15,"")</x:f>
        <x:v>0.21341128704558843</x:v>
      </x:c>
      <x:c r="M20" s="369" t="n">
        <x:f>IF(ISNUMBER($B20),ABS($B20-'02_Constants'!$D$16)/'02_Constants'!$D$16,"")</x:f>
        <x:v>0.531789802145437</x:v>
      </x:c>
      <x:c r="N20" s="369" t="n">
        <x:f>IF(ISNUMBER($B20),ABS($B20-'02_Constants'!$D$17)/'02_Constants'!$D$17,"")</x:f>
        <x:v>0.25930237307540266</x:v>
      </x:c>
      <x:c r="O20" s="369" t="n">
        <x:f>IF(ISNUMBER($B20),ABS($B20-'02_Constants'!$D$18)/'02_Constants'!$D$18,"")</x:f>
        <x:v>0.03924660659511835</x:v>
      </x:c>
      <x:c r="P20" s="369" t="n">
        <x:f>IF(ISNUMBER($B20),ABS($B20-'02_Constants'!$D$19)/'02_Constants'!$D$19,"")</x:f>
        <x:v>0.47281910243424263</x:v>
      </x:c>
      <x:c r="Q20" s="369" t="n">
        <x:f>IF(ISNUMBER($B20),ABS($B20-'02_Constants'!$D$20)/'02_Constants'!$D$20,"")</x:f>
        <x:v>0.3894924447140623</x:v>
      </x:c>
      <x:c r="R20" s="369" t="n">
        <x:f>IF(ISNUMBER($B20),ABS($B20-'02_Constants'!$D$21)/'02_Constants'!$D$21,"")</x:f>
        <x:v>0.058791201466355185</x:v>
      </x:c>
      <x:c r="S20" s="369" t="n">
        <x:f>IF(ISNUMBER($B20),ABS($B20-'02_Constants'!$D$22)/'02_Constants'!$D$22,"")</x:f>
        <x:v>0.5260659016722742</x:v>
      </x:c>
      <x:c r="T20" s="369" t="n">
        <x:f>IF(ISNUMBER($B20),ABS($B20-'02_Constants'!$D$23)/'02_Constants'!$D$23,"")</x:f>
        <x:v>0.7274207928297663</x:v>
      </x:c>
      <x:c r="U20" s="369" t="n">
        <x:f>IF(ISNUMBER($B20),ABS($B20-'02_Constants'!$D$24)/'02_Constants'!$D$24,"")</x:f>
        <x:v>1.244101789175141</x:v>
      </x:c>
      <x:c r="V20" s="369" t="n">
        <x:f>IF(ISNUMBER($B20),ABS($B20-'02_Constants'!$D$25)/'02_Constants'!$D$25,"")</x:f>
        <x:v>0.02366564456119831</x:v>
      </x:c>
      <x:c r="W20" s="369" t="n">
        <x:f>IF(ISNUMBER($B20),ABS($B20-'02_Constants'!$D$26)/'02_Constants'!$D$26,"")</x:f>
        <x:v>0.5189543070791653</x:v>
      </x:c>
      <x:c r="X20" s="369" t="n">
        <x:f>IF(ISNUMBER($B20),ABS($B20-'02_Constants'!$D$27)/'02_Constants'!$D$27,"")</x:f>
        <x:v>0.8361573247677716</x:v>
      </x:c>
      <x:c r="Y20" s="369" t="n">
        <x:f>IF(ISNUMBER($B20),ABS($B20-'02_Constants'!$D$28)/'02_Constants'!$D$28,"")</x:f>
        <x:v>0.2819405300301283</x:v>
      </x:c>
      <x:c r="Z20" s="369" t="n">
        <x:f>IF(ISNUMBER($B20),ABS($B20-'02_Constants'!$D$29)/'02_Constants'!$D$29,"")</x:f>
        <x:v>0.12792517784896473</x:v>
      </x:c>
      <x:c r="AA20" s="369" t="n">
        <x:f>IF(ISNUMBER($B20),ABS($B20-'02_Constants'!$D$30)/'02_Constants'!$D$30,"")</x:f>
        <x:v>0.4709257179157186</x:v>
      </x:c>
      <x:c r="AB20" s="369" t="n">
        <x:f>IF(ISNUMBER($B20),ABS($B20-'02_Constants'!$D$31)/'02_Constants'!$D$31,"")</x:f>
        <x:v>0.1012348829137919</x:v>
      </x:c>
      <x:c r="AC20" s="369" t="n">
        <x:f>IF(ISNUMBER($B20),ABS($B20-'02_Constants'!$D$32)/'02_Constants'!$D$32,"")</x:f>
        <x:v>0.0005562989639932417</x:v>
      </x:c>
      <x:c r="AD20" s="369" t="n">
        <x:f>IF(ISNUMBER($B20),ABS($B20-'02_Constants'!$D$33)/'02_Constants'!$D$33,"")</x:f>
        <x:v>0.5138614402271389</x:v>
      </x:c>
    </x:row>
    <x:row r="21">
      <x:c r="A21" s="135" t="str">
        <x:f>'06_Laboratory'!B35</x:f>
        <x:v>Half-base / height</x:v>
      </x:c>
      <x:c r="B21" s="365" t="n">
        <x:f>IF('06_Laboratory'!F35="","",'06_Laboratory'!F35)</x:f>
        <x:v>0.7857142857142857</x:v>
      </x:c>
      <x:c r="C21" s="369" t="n">
        <x:f>IF(ISNUMBER($B21),ABS($B21-'02_Constants'!$D$6)/'02_Constants'!$D$6,"")</x:f>
        <x:v>0.7498993751413073</x:v>
      </x:c>
      <x:c r="D21" s="369" t="n">
        <x:f>IF(ISNUMBER($B21),ABS($B21-'02_Constants'!$D$7)/'02_Constants'!$D$7,"")</x:f>
        <x:v>0.36121441861478343</x:v>
      </x:c>
      <x:c r="E21" s="369" t="n">
        <x:f>IF(ISNUMBER($B21),ABS($B21-'02_Constants'!$D$8)/'02_Constants'!$D$8,"")</x:f>
        <x:v>0.5463676456367226</x:v>
      </x:c>
      <x:c r="F21" s="369" t="n">
        <x:f>IF(ISNUMBER($B21),ABS($B21-'02_Constants'!$D$9)/'02_Constants'!$D$9,"")</x:f>
        <x:v>0.6792334860641076</x:v>
      </x:c>
      <x:c r="G21" s="369" t="n">
        <x:f>IF(ISNUMBER($B21),ABS($B21-'02_Constants'!$D$10)/'02_Constants'!$D$10,"")</x:f>
        <x:v>0.44441610049628416</x:v>
      </x:c>
      <x:c r="H21" s="369" t="n">
        <x:f>IF(ISNUMBER($B21),ABS($B21-'02_Constants'!$D$11)/'02_Constants'!$D$11,"")</x:f>
        <x:v>0.6486178892500332</x:v>
      </x:c>
      <x:c r="I21" s="369" t="n">
        <x:f>IF(ISNUMBER($B21),ABS($B21-'02_Constants'!$D$12)/'02_Constants'!$D$12,"")</x:f>
        <x:v>0.57281577574194</x:v>
      </x:c>
      <x:c r="J21" s="369" t="n">
        <x:f>IF(ISNUMBER($B21),ABS($B21-'02_Constants'!$D$13)/'02_Constants'!$D$13,"")</x:f>
        <x:v>0.5869358808644144</x:v>
      </x:c>
      <x:c r="K21" s="369" t="n">
        <x:f>IF(ISNUMBER($B21),ABS($B21-'02_Constants'!$D$14)/'02_Constants'!$D$14,"")</x:f>
        <x:v>0.2713124197320601</x:v>
      </x:c>
      <x:c r="L21" s="369" t="n">
        <x:f>IF(ISNUMBER($B21),ABS($B21-'02_Constants'!$D$15)/'02_Constants'!$D$15,"")</x:f>
        <x:v>0.5144018659822255</x:v>
      </x:c>
      <x:c r="M21" s="369" t="n">
        <x:f>IF(ISNUMBER($B21),ABS($B21-'02_Constants'!$D$16)/'02_Constants'!$D$16,"")</x:f>
        <x:v>0.7109518676510096</x:v>
      </x:c>
      <x:c r="N21" s="369" t="n">
        <x:f>IF(ISNUMBER($B21),ABS($B21-'02_Constants'!$D$17)/'02_Constants'!$D$17,"")</x:f>
        <x:v>0.5427325874598149</x:v>
      </x:c>
      <x:c r="O21" s="369" t="n">
        <x:f>IF(ISNUMBER($B21),ABS($B21-'02_Constants'!$D$18)/'02_Constants'!$D$18,"")</x:f>
        <x:v>0.4068818336633129</x:v>
      </x:c>
      <x:c r="P21" s="369" t="n">
        <x:f>IF(ISNUMBER($B21),ABS($B21-'02_Constants'!$D$19)/'02_Constants'!$D$19,"")</x:f>
        <x:v>0.6745464867068539</x:v>
      </x:c>
      <x:c r="Q21" s="369" t="n">
        <x:f>IF(ISNUMBER($B21),ABS($B21-'02_Constants'!$D$20)/'02_Constants'!$D$20,"")</x:f>
        <x:v>0.14220109280407378</x:v>
      </x:c>
      <x:c r="R21" s="369" t="n">
        <x:f>IF(ISNUMBER($B21),ABS($B21-'02_Constants'!$D$21)/'02_Constants'!$D$21,"")</x:f>
        <x:v>0.34635849297230115</x:v>
      </x:c>
      <x:c r="S21" s="369" t="n">
        <x:f>IF(ISNUMBER($B21),ABS($B21-'02_Constants'!$D$22)/'02_Constants'!$D$22,"")</x:f>
        <x:v>0.7074182352160469</x:v>
      </x:c>
      <x:c r="T21" s="369" t="n">
        <x:f>IF(ISNUMBER($B21),ABS($B21-'02_Constants'!$D$23)/'02_Constants'!$D$23,"")</x:f>
        <x:v>0.8317240608796006</x:v>
      </x:c>
      <x:c r="U21" s="369" t="n">
        <x:f>IF(ISNUMBER($B21),ABS($B21-'02_Constants'!$D$24)/'02_Constants'!$D$24,"")</x:f>
        <x:v>0.3853893698479186</x:v>
      </x:c>
      <x:c r="V21" s="369" t="n">
        <x:f>IF(ISNUMBER($B21),ABS($B21-'02_Constants'!$D$25)/'02_Constants'!$D$25,"")</x:f>
        <x:v>0.3972629744484949</x:v>
      </x:c>
      <x:c r="W21" s="369" t="n">
        <x:f>IF(ISNUMBER($B21),ABS($B21-'02_Constants'!$D$26)/'02_Constants'!$D$26,"")</x:f>
        <x:v>0.7030279140641786</x:v>
      </x:c>
      <x:c r="X21" s="369" t="n">
        <x:f>IF(ISNUMBER($B21),ABS($B21-'02_Constants'!$D$27)/'02_Constants'!$D$27,"")</x:f>
        <x:v>0.1335461035556141</x:v>
      </x:c>
      <x:c r="Y21" s="369" t="n">
        <x:f>IF(ISNUMBER($B21),ABS($B21-'02_Constants'!$D$28)/'02_Constants'!$D$28,"")</x:f>
        <x:v>0.5567081843553343</x:v>
      </x:c>
      <x:c r="Z21" s="369" t="n">
        <x:f>IF(ISNUMBER($B21),ABS($B21-'02_Constants'!$D$29)/'02_Constants'!$D$29,"")</x:f>
        <x:v>0.3036788442871187</x:v>
      </x:c>
      <x:c r="AA21" s="369" t="n">
        <x:f>IF(ISNUMBER($B21),ABS($B21-'02_Constants'!$D$30)/'02_Constants'!$D$30,"")</x:f>
        <x:v>0.0919285108785615</x:v>
      </x:c>
      <x:c r="AB21" s="369" t="n">
        <x:f>IF(ISNUMBER($B21),ABS($B21-'02_Constants'!$D$31)/'02_Constants'!$D$31,"")</x:f>
        <x:v>0.32015601616036315</x:v>
      </x:c>
      <x:c r="AC21" s="369" t="n">
        <x:f>IF(ISNUMBER($B21),ABS($B21-'02_Constants'!$D$32)/'02_Constants'!$D$32,"")</x:f>
        <x:v>0.3823096317620246</x:v>
      </x:c>
      <x:c r="AD21" s="369" t="n">
        <x:f>IF(ISNUMBER($B21),ABS($B21-'02_Constants'!$D$33)/'02_Constants'!$D$33,"")</x:f>
        <x:v>0.6998838483034888</x:v>
      </x:c>
    </x:row>
    <x:row r="22">
      <x:c r="A22" s="135" t="str">
        <x:f>'06_Laboratory'!B36</x:f>
        <x:v>Slant height / height</x:v>
      </x:c>
      <x:c r="B22" s="365" t="n">
        <x:f>IF('06_Laboratory'!F36="","",'06_Laboratory'!F36)</x:f>
        <x:v>1.2717495581974896</x:v>
      </x:c>
      <x:c r="C22" s="369" t="n">
        <x:f>IF(ISNUMBER($B22),ABS($B22-'02_Constants'!$D$6)/'02_Constants'!$D$6,"")</x:f>
        <x:v>0.595189542875871</x:v>
      </x:c>
      <x:c r="D22" s="369" t="n">
        <x:f>IF(ISNUMBER($B22),ABS($B22-'02_Constants'!$D$7)/'02_Constants'!$D$7,"")</x:f>
        <x:v>1.2032485178905135</x:v>
      </x:c>
      <x:c r="E22" s="369" t="n">
        <x:f>IF(ISNUMBER($B22),ABS($B22-'02_Constants'!$D$8)/'02_Constants'!$D$8,"")</x:f>
        <x:v>0.2657550502328917</x:v>
      </x:c>
      <x:c r="F22" s="369" t="n">
        <x:f>IF(ISNUMBER($B22),ABS($B22-'02_Constants'!$D$9)/'02_Constants'!$D$9,"")</x:f>
        <x:v>0.48081041696770177</x:v>
      </x:c>
      <x:c r="G22" s="369" t="n">
        <x:f>IF(ISNUMBER($B22),ABS($B22-'02_Constants'!$D$10)/'02_Constants'!$D$10,"")</x:f>
        <x:v>0.10073726342755931</x:v>
      </x:c>
      <x:c r="H22" s="369" t="n">
        <x:f>IF(ISNUMBER($B22),ABS($B22-'02_Constants'!$D$11)/'02_Constants'!$D$11,"")</x:f>
        <x:v>0.4312563075030177</x:v>
      </x:c>
      <x:c r="I22" s="369" t="n">
        <x:f>IF(ISNUMBER($B22),ABS($B22-'02_Constants'!$D$12)/'02_Constants'!$D$12,"")</x:f>
        <x:v>0.3085637383120225</x:v>
      </x:c>
      <x:c r="J22" s="369" t="n">
        <x:f>IF(ISNUMBER($B22),ABS($B22-'02_Constants'!$D$13)/'02_Constants'!$D$13,"")</x:f>
        <x:v>0.3314184041590157</x:v>
      </x:c>
      <x:c r="K22" s="369" t="n">
        <x:f>IF(ISNUMBER($B22),ABS($B22-'02_Constants'!$D$14)/'02_Constants'!$D$14,"")</x:f>
        <x:v>1.0577340103412005</x:v>
      </x:c>
      <x:c r="L22" s="369" t="n">
        <x:f>IF(ISNUMBER($B22),ABS($B22-'02_Constants'!$D$15)/'02_Constants'!$D$15,"")</x:f>
        <x:v>0.214015547856289</x:v>
      </x:c>
      <x:c r="M22" s="369" t="n">
        <x:f>IF(ISNUMBER($B22),ABS($B22-'02_Constants'!$D$16)/'02_Constants'!$D$16,"")</x:f>
        <x:v>0.5321494832202789</x:v>
      </x:c>
      <x:c r="N22" s="369" t="n">
        <x:f>IF(ISNUMBER($B22),ABS($B22-'02_Constants'!$D$17)/'02_Constants'!$D$17,"")</x:f>
        <x:v>0.25987138015770417</x:v>
      </x:c>
      <x:c r="O22" s="369" t="n">
        <x:f>IF(ISNUMBER($B22),ABS($B22-'02_Constants'!$D$18)/'02_Constants'!$D$18,"")</x:f>
        <x:v>0.03998466145761651</x:v>
      </x:c>
      <x:c r="P22" s="369" t="n">
        <x:f>IF(ISNUMBER($B22),ABS($B22-'02_Constants'!$D$19)/'02_Constants'!$D$19,"")</x:f>
        <x:v>0.47322408505260805</x:v>
      </x:c>
      <x:c r="Q22" s="369" t="n">
        <x:f>IF(ISNUMBER($B22),ABS($B22-'02_Constants'!$D$20)/'02_Constants'!$D$20,"")</x:f>
        <x:v>0.38842503068017453</x:v>
      </x:c>
      <x:c r="R22" s="369" t="n">
        <x:f>IF(ISNUMBER($B22),ABS($B22-'02_Constants'!$D$21)/'02_Constants'!$D$21,"")</x:f>
        <x:v>0.05797783354074932</x:v>
      </x:c>
      <x:c r="S22" s="369" t="n">
        <x:f>IF(ISNUMBER($B22),ABS($B22-'02_Constants'!$D$22)/'02_Constants'!$D$22,"")</x:f>
        <x:v>0.52642997987192</x:v>
      </x:c>
      <x:c r="T22" s="369" t="n">
        <x:f>IF(ISNUMBER($B22),ABS($B22-'02_Constants'!$D$23)/'02_Constants'!$D$23,"")</x:f>
        <x:v>0.7276301893415547</x:v>
      </x:c>
      <x:c r="U22" s="369" t="n">
        <x:f>IF(ISNUMBER($B22),ABS($B22-'02_Constants'!$D$24)/'02_Constants'!$D$24,"")</x:f>
        <x:v>1.2423778605907496</x:v>
      </x:c>
      <x:c r="V22" s="369" t="n">
        <x:f>IF(ISNUMBER($B22),ABS($B22-'02_Constants'!$D$25)/'02_Constants'!$D$25,"")</x:f>
        <x:v>0.024415668785314634</x:v>
      </x:c>
      <x:c r="W22" s="369" t="n">
        <x:f>IF(ISNUMBER($B22),ABS($B22-'02_Constants'!$D$26)/'02_Constants'!$D$26,"")</x:f>
        <x:v>0.5193238484361683</x:v>
      </x:c>
      <x:c r="X22" s="369" t="n">
        <x:f>IF(ISNUMBER($B22),ABS($B22-'02_Constants'!$D$27)/'02_Constants'!$D$27,"")</x:f>
        <x:v>0.8347467808642485</x:v>
      </x:c>
      <x:c r="Y22" s="369" t="n">
        <x:f>IF(ISNUMBER($B22),ABS($B22-'02_Constants'!$D$28)/'02_Constants'!$D$28,"")</x:f>
        <x:v>0.2824921463835152</x:v>
      </x:c>
      <x:c r="Z22" s="369" t="n">
        <x:f>IF(ISNUMBER($B22),ABS($B22-'02_Constants'!$D$29)/'02_Constants'!$D$29,"")</x:f>
        <x:v>0.12705870090726457</x:v>
      </x:c>
      <x:c r="AA22" s="369" t="n">
        <x:f>IF(ISNUMBER($B22),ABS($B22-'02_Constants'!$D$30)/'02_Constants'!$D$30,"")</x:f>
        <x:v>0.46979574649336026</x:v>
      </x:c>
      <x:c r="AB22" s="369" t="n">
        <x:f>IF(ISNUMBER($B22),ABS($B22-'02_Constants'!$D$31)/'02_Constants'!$D$31,"")</x:f>
        <x:v>0.10038890957071925</x:v>
      </x:c>
      <x:c r="AC22" s="369" t="n">
        <x:f>IF(ISNUMBER($B22),ABS($B22-'02_Constants'!$D$32)/'02_Constants'!$D$32,"")</x:f>
        <x:v>0.000212332660649213</x:v>
      </x:c>
      <x:c r="AD22" s="369" t="n">
        <x:f>IF(ISNUMBER($B22),ABS($B22-'02_Constants'!$D$33)/'02_Constants'!$D$33,"")</x:f>
        <x:v>0.5142348939462215</x:v>
      </x:c>
    </x:row>
    <x:row r="23">
      <x:c r="A23" s="135" t="str">
        <x:f>'06_Laboratory'!B37</x:f>
        <x:v>Lateral edge / slant height</x:v>
      </x:c>
      <x:c r="B23" s="365" t="n">
        <x:f>IF('06_Laboratory'!F37="","",'06_Laboratory'!F37)</x:f>
        <x:v>1.1754588338310898</x:v>
      </x:c>
      <x:c r="C23" s="369" t="n">
        <x:f>IF(ISNUMBER($B23),ABS($B23-'02_Constants'!$D$6)/'02_Constants'!$D$6,"")</x:f>
        <x:v>0.6258398323894945</x:v>
      </x:c>
      <x:c r="D23" s="369" t="n">
        <x:f>IF(ISNUMBER($B23),ABS($B23-'02_Constants'!$D$7)/'02_Constants'!$D$7,"")</x:f>
        <x:v>1.036429198489634</x:v>
      </x:c>
      <x:c r="E23" s="369" t="n">
        <x:f>IF(ISNUMBER($B23),ABS($B23-'02_Constants'!$D$8)/'02_Constants'!$D$8,"")</x:f>
        <x:v>0.32134852586629664</x:v>
      </x:c>
      <x:c r="F23" s="369" t="n">
        <x:f>IF(ISNUMBER($B23),ABS($B23-'02_Constants'!$D$9)/'02_Constants'!$D$9,"")</x:f>
        <x:v>0.5201209405778116</x:v>
      </x:c>
      <x:c r="G23" s="369" t="n">
        <x:f>IF(ISNUMBER($B23),ABS($B23-'02_Constants'!$D$10)/'02_Constants'!$D$10,"")</x:f>
        <x:v>0.16882508759240528</x:v>
      </x:c>
      <x:c r="H23" s="369" t="n">
        <x:f>IF(ISNUMBER($B23),ABS($B23-'02_Constants'!$D$11)/'02_Constants'!$D$11,"")</x:f>
        <x:v>0.47431882856021074</x:v>
      </x:c>
      <x:c r="I23" s="369" t="n">
        <x:f>IF(ISNUMBER($B23),ABS($B23-'02_Constants'!$D$12)/'02_Constants'!$D$12,"")</x:f>
        <x:v>0.36091594717419523</x:v>
      </x:c>
      <x:c r="J23" s="369" t="n">
        <x:f>IF(ISNUMBER($B23),ABS($B23-'02_Constants'!$D$13)/'02_Constants'!$D$13,"")</x:f>
        <x:v>0.3820401682843504</x:v>
      </x:c>
      <x:c r="K23" s="369" t="n">
        <x:f>IF(ISNUMBER($B23),ABS($B23-'02_Constants'!$D$14)/'02_Constants'!$D$14,"")</x:f>
        <x:v>0.901932345515018</x:v>
      </x:c>
      <x:c r="L23" s="369" t="n">
        <x:f>IF(ISNUMBER($B23),ABS($B23-'02_Constants'!$D$15)/'02_Constants'!$D$15,"")</x:f>
        <x:v>0.27352648831607174</x:v>
      </x:c>
      <x:c r="M23" s="369" t="n">
        <x:f>IF(ISNUMBER($B23),ABS($B23-'02_Constants'!$D$16)/'02_Constants'!$D$16,"")</x:f>
        <x:v>0.5675728610901833</x:v>
      </x:c>
      <x:c r="N23" s="369" t="n">
        <x:f>IF(ISNUMBER($B23),ABS($B23-'02_Constants'!$D$17)/'02_Constants'!$D$17,"")</x:f>
        <x:v>0.3159103388265235</x:v>
      </x:c>
      <x:c r="O23" s="369" t="n">
        <x:f>IF(ISNUMBER($B23),ABS($B23-'02_Constants'!$D$18)/'02_Constants'!$D$18,"")</x:f>
        <x:v>0.1126723787485279</x:v>
      </x:c>
      <x:c r="P23" s="369" t="n">
        <x:f>IF(ISNUMBER($B23),ABS($B23-'02_Constants'!$D$19)/'02_Constants'!$D$19,"")</x:f>
        <x:v>0.5131090090159003</x:v>
      </x:c>
      <x:c r="Q23" s="369" t="n">
        <x:f>IF(ISNUMBER($B23),ABS($B23-'02_Constants'!$D$20)/'02_Constants'!$D$20,"")</x:f>
        <x:v>0.28330020396340855</x:v>
      </x:c>
      <x:c r="R23" s="369" t="n">
        <x:f>IF(ISNUMBER($B23),ABS($B23-'02_Constants'!$D$21)/'02_Constants'!$D$21,"")</x:f>
        <x:v>0.02212712997079541</x:v>
      </x:c>
      <x:c r="S23" s="369" t="n">
        <x:f>IF(ISNUMBER($B23),ABS($B23-'02_Constants'!$D$22)/'02_Constants'!$D$22,"")</x:f>
        <x:v>0.5622864108668518</x:v>
      </x:c>
      <x:c r="T23" s="369" t="n">
        <x:f>IF(ISNUMBER($B23),ABS($B23-'02_Constants'!$D$23)/'02_Constants'!$D$23,"")</x:f>
        <x:v>0.7482527137959867</x:v>
      </x:c>
      <x:c r="U23" s="369" t="n">
        <x:f>IF(ISNUMBER($B23),ABS($B23-'02_Constants'!$D$24)/'02_Constants'!$D$24,"")</x:f>
        <x:v>1.0725958566516292</x:v>
      </x:c>
      <x:c r="V23" s="369" t="n">
        <x:f>IF(ISNUMBER($B23),ABS($B23-'02_Constants'!$D$25)/'02_Constants'!$D$25,"")</x:f>
        <x:v>0.0982821948852465</x:v>
      </x:c>
      <x:c r="W23" s="369" t="n">
        <x:f>IF(ISNUMBER($B23),ABS($B23-'02_Constants'!$D$26)/'02_Constants'!$D$26,"")</x:f>
        <x:v>0.5557183213269914</x:v>
      </x:c>
      <x:c r="X23" s="369" t="n">
        <x:f>IF(ISNUMBER($B23),ABS($B23-'02_Constants'!$D$27)/'02_Constants'!$D$27,"")</x:f>
        <x:v>0.6958286303372374</x:v>
      </x:c>
      <x:c r="Y23" s="369" t="n">
        <x:f>IF(ISNUMBER($B23),ABS($B23-'02_Constants'!$D$28)/'02_Constants'!$D$28,"")</x:f>
        <x:v>0.3368183700633061</x:v>
      </x:c>
      <x:c r="Z23" s="369" t="n">
        <x:f>IF(ISNUMBER($B23),ABS($B23-'02_Constants'!$D$29)/'02_Constants'!$D$29,"")</x:f>
        <x:v>0.041723268302411146</x:v>
      </x:c>
      <x:c r="AA23" s="369" t="n">
        <x:f>IF(ISNUMBER($B23),ABS($B23-'02_Constants'!$D$30)/'02_Constants'!$D$30,"")</x:f>
        <x:v>0.35850992281193295</x:v>
      </x:c>
      <x:c r="AB23" s="369" t="n">
        <x:f>IF(ISNUMBER($B23),ABS($B23-'02_Constants'!$D$31)/'02_Constants'!$D$31,"")</x:f>
        <x:v>0.01707278454882777</x:v>
      </x:c>
      <x:c r="AC23" s="369" t="n">
        <x:f>IF(ISNUMBER($B23),ABS($B23-'02_Constants'!$D$32)/'02_Constants'!$D$32,"")</x:f>
        <x:v>0.07591141828655465</x:v>
      </x:c>
      <x:c r="AD23" s="369" t="n">
        <x:f>IF(ISNUMBER($B23),ABS($B23-'02_Constants'!$D$33)/'02_Constants'!$D$33,"")</x:f>
        <x:v>0.5510146778528384</x:v>
      </x:c>
    </x:row>
    <x:row r="24">
      <x:c r="A24" s="135" t="str">
        <x:f>'06_Laboratory'!B38</x:f>
        <x:v>Lateral area / base area</x:v>
      </x:c>
      <x:c r="B24" s="365" t="n">
        <x:f>IF('06_Laboratory'!F38="","",'06_Laboratory'!F38)</x:f>
        <x:v>1.618590346796805</x:v>
      </x:c>
      <x:c r="C24" s="369" t="n">
        <x:f>IF(ISNUMBER($B24),ABS($B24-'02_Constants'!$D$6)/'02_Constants'!$D$6,"")</x:f>
        <x:v>0.4847866909329267</x:v>
      </x:c>
      <x:c r="D24" s="369" t="n">
        <x:f>IF(ISNUMBER($B24),ABS($B24-'02_Constants'!$D$7)/'02_Constants'!$D$7,"")</x:f>
        <x:v>1.804134477315199</x:v>
      </x:c>
      <x:c r="E24" s="369" t="n">
        <x:f>IF(ISNUMBER($B24),ABS($B24-'02_Constants'!$D$8)/'02_Constants'!$D$8,"")</x:f>
        <x:v>0.06550642756913484</x:v>
      </x:c>
      <x:c r="F24" s="369" t="n">
        <x:f>IF(ISNUMBER($B24),ABS($B24-'02_Constants'!$D$9)/'02_Constants'!$D$9,"")</x:f>
        <x:v>0.3392132579588931</x:v>
      </x:c>
      <x:c r="G24" s="369" t="n">
        <x:f>IF(ISNUMBER($B24),ABS($B24-'02_Constants'!$D$10)/'02_Constants'!$D$10,"")</x:f>
        <x:v>0.1445162101831064</x:v>
      </x:c>
      <x:c r="H24" s="369" t="n">
        <x:f>IF(ISNUMBER($B24),ABS($B24-'02_Constants'!$D$11)/'02_Constants'!$D$11,"")</x:f>
        <x:v>0.27614439136747704</x:v>
      </x:c>
      <x:c r="I24" s="369" t="n">
        <x:f>IF(ISNUMBER($B24),ABS($B24-'02_Constants'!$D$12)/'02_Constants'!$D$12,"")</x:f>
        <x:v>0.11999021239711952</x:v>
      </x:c>
      <x:c r="J24" s="369" t="n">
        <x:f>IF(ISNUMBER($B24),ABS($B24-'02_Constants'!$D$13)/'02_Constants'!$D$13,"")</x:f>
        <x:v>0.1490779689296563</x:v>
      </x:c>
      <x:c r="K24" s="369" t="n">
        <x:f>IF(ISNUMBER($B24),ABS($B24-'02_Constants'!$D$14)/'02_Constants'!$D$14,"")</x:f>
        <x:v>1.6189341949797098</x:v>
      </x:c>
      <x:c r="L24" s="369" t="n">
        <x:f>IF(ISNUMBER($B24),ABS($B24-'02_Constants'!$D$15)/'02_Constants'!$D$15,"")</x:f>
        <x:v>0.0003438481829049635</x:v>
      </x:c>
      <x:c r="M24" s="369" t="n">
        <x:f>IF(ISNUMBER($B24),ABS($B24-'02_Constants'!$D$16)/'02_Constants'!$D$16,"")</x:f>
        <x:v>0.4045538877349003</x:v>
      </x:c>
      <x:c r="N24" s="369" t="n">
        <x:f>IF(ISNUMBER($B24),ABS($B24-'02_Constants'!$D$17)/'02_Constants'!$D$17,"")</x:f>
        <x:v>0.05801812020071432</x:v>
      </x:c>
      <x:c r="O24" s="369" t="n">
        <x:f>IF(ISNUMBER($B24),ABS($B24-'02_Constants'!$D$18)/'02_Constants'!$D$18,"")</x:f>
        <x:v>0.22183770359939725</x:v>
      </x:c>
      <x:c r="P24" s="369" t="n">
        <x:f>IF(ISNUMBER($B24),ABS($B24-'02_Constants'!$D$19)/'02_Constants'!$D$19,"")</x:f>
        <x:v>0.329557926430592</x:v>
      </x:c>
      <x:c r="Q24" s="369" t="n">
        <x:f>IF(ISNUMBER($B24),ABS($B24-'02_Constants'!$D$20)/'02_Constants'!$D$20,"")</x:f>
        <x:v>0.7670864026838585</x:v>
      </x:c>
      <x:c r="R24" s="369" t="n">
        <x:f>IF(ISNUMBER($B24),ABS($B24-'02_Constants'!$D$21)/'02_Constants'!$D$21,"")</x:f>
        <x:v>0.3465172426882265</x:v>
      </x:c>
      <x:c r="S24" s="369" t="n">
        <x:f>IF(ISNUMBER($B24),ABS($B24-'02_Constants'!$D$22)/'02_Constants'!$D$22,"")</x:f>
        <x:v>0.397274519836989</x:v>
      </x:c>
      <x:c r="T24" s="369" t="n">
        <x:f>IF(ISNUMBER($B24),ABS($B24-'02_Constants'!$D$23)/'02_Constants'!$D$23,"")</x:f>
        <x:v>0.6533475137074333</x:v>
      </x:c>
      <x:c r="U24" s="369" t="n">
        <x:f>IF(ISNUMBER($B24),ABS($B24-'02_Constants'!$D$24)/'02_Constants'!$D$24,"")</x:f>
        <x:v>1.8539354589336816</x:v>
      </x:c>
      <x:c r="V24" s="369" t="n">
        <x:f>IF(ISNUMBER($B24),ABS($B24-'02_Constants'!$D$25)/'02_Constants'!$D$25,"")</x:f>
        <x:v>0.2416527851823269</x:v>
      </x:c>
      <x:c r="W24" s="369" t="n">
        <x:f>IF(ISNUMBER($B24),ABS($B24-'02_Constants'!$D$26)/'02_Constants'!$D$26,"")</x:f>
        <x:v>0.3882303525551233</x:v>
      </x:c>
      <x:c r="X24" s="369" t="n">
        <x:f>IF(ISNUMBER($B24),ABS($B24-'02_Constants'!$D$27)/'02_Constants'!$D$27,"")</x:f>
        <x:v>1.3351322665544982</x:v>
      </x:c>
      <x:c r="Y24" s="369" t="n">
        <x:f>IF(ISNUMBER($B24),ABS($B24-'02_Constants'!$D$28)/'02_Constants'!$D$28,"")</x:f>
        <x:v>0.08680818630629207</x:v>
      </x:c>
      <x:c r="Z24" s="369" t="n">
        <x:f>IF(ISNUMBER($B24),ABS($B24-'02_Constants'!$D$29)/'02_Constants'!$D$29,"")</x:f>
        <x:v>0.4344383466092459</x:v>
      </x:c>
      <x:c r="AA24" s="369" t="n">
        <x:f>IF(ISNUMBER($B24),ABS($B24-'02_Constants'!$D$30)/'02_Constants'!$D$30,"")</x:f>
        <x:v>0.8706491319006404</x:v>
      </x:c>
      <x:c r="AB24" s="369" t="n">
        <x:f>IF(ISNUMBER($B24),ABS($B24-'02_Constants'!$D$31)/'02_Constants'!$D$31,"")</x:f>
        <x:v>0.4004949758172791</x:v>
      </x:c>
      <x:c r="AC24" s="369" t="n">
        <x:f>IF(ISNUMBER($B24),ABS($B24-'02_Constants'!$D$32)/'02_Constants'!$D$32,"")</x:f>
        <x:v>0.2724570311591738</x:v>
      </x:c>
      <x:c r="AD24" s="369" t="n">
        <x:f>IF(ISNUMBER($B24),ABS($B24-'02_Constants'!$D$33)/'02_Constants'!$D$33,"")</x:f>
        <x:v>0.3817535013861</x:v>
      </x:c>
    </x:row>
    <x:row r="25">
      <x:c r="A25" s="135" t="str">
        <x:f>'06_Laboratory'!B39</x:f>
        <x:v>Total area / base area</x:v>
      </x:c>
      <x:c r="B25" s="365" t="n">
        <x:f>IF('06_Laboratory'!F39="","",'06_Laboratory'!F39)</x:f>
        <x:v>2.618590346796805</x:v>
      </x:c>
      <x:c r="C25" s="369" t="n">
        <x:f>IF(ISNUMBER($B25),ABS($B25-'02_Constants'!$D$6)/'02_Constants'!$D$6,"")</x:f>
        <x:v>0.1664768047491361</x:v>
      </x:c>
      <x:c r="D25" s="369" t="n">
        <x:f>IF(ISNUMBER($B25),ABS($B25-'02_Constants'!$D$7)/'02_Constants'!$D$7,"")</x:f>
        <x:v>3.5365891919158323</x:v>
      </x:c>
      <x:c r="E25" s="369" t="n">
        <x:f>IF(ISNUMBER($B25),ABS($B25-'02_Constants'!$D$8)/'02_Constants'!$D$8,"")</x:f>
        <x:v>0.5118438416204908</x:v>
      </x:c>
      <x:c r="F25" s="369" t="n">
        <x:f>IF(ISNUMBER($B25),ABS($B25-'02_Constants'!$D$9)/'02_Constants'!$D$9,"")</x:f>
        <x:v>0.06903503250496985</x:v>
      </x:c>
      <x:c r="G25" s="369" t="n">
        <x:f>IF(ISNUMBER($B25),ABS($B25-'02_Constants'!$D$10)/'02_Constants'!$D$10,"")</x:f>
        <x:v>0.8516229913696537</x:v>
      </x:c>
      <x:c r="H25" s="369" t="n">
        <x:f>IF(ISNUMBER($B25),ABS($B25-'02_Constants'!$D$11)/'02_Constants'!$D$11,"")</x:f>
        <x:v>0.17106920413248078</x:v>
      </x:c>
      <x:c r="I25" s="369" t="n">
        <x:f>IF(ISNUMBER($B25),ABS($B25-'02_Constants'!$D$12)/'02_Constants'!$D$12,"")</x:f>
        <x:v>0.42369880029495677</x:v>
      </x:c>
      <x:c r="J25" s="369" t="n">
        <x:f>IF(ISNUMBER($B25),ABS($B25-'02_Constants'!$D$13)/'02_Constants'!$D$13,"")</x:f>
        <x:v>0.37664000087927074</x:v>
      </x:c>
      <x:c r="K25" s="369" t="n">
        <x:f>IF(ISNUMBER($B25),ABS($B25-'02_Constants'!$D$14)/'02_Constants'!$D$14,"")</x:f>
        <x:v>3.236968183729604</x:v>
      </x:c>
      <x:c r="L25" s="369" t="n">
        <x:f>IF(ISNUMBER($B25),ABS($B25-'02_Constants'!$D$15)/'02_Constants'!$D$15,"")</x:f>
        <x:v>0.6183778369327997</x:v>
      </x:c>
      <x:c r="M25" s="369" t="n">
        <x:f>IF(ISNUMBER($B25),ABS($B25-'02_Constants'!$D$16)/'02_Constants'!$D$16,"")</x:f>
        <x:v>0.03667444656345805</x:v>
      </x:c>
      <x:c r="N25" s="369" t="n">
        <x:f>IF(ISNUMBER($B25),ABS($B25-'02_Constants'!$D$17)/'02_Constants'!$D$17,"")</x:f>
        <x:v>0.5239585866686121</x:v>
      </x:c>
      <x:c r="O25" s="369" t="n">
        <x:f>IF(ISNUMBER($B25),ABS($B25-'02_Constants'!$D$18)/'02_Constants'!$D$18,"")</x:f>
        <x:v>0.9767153698460899</x:v>
      </x:c>
      <x:c r="P25" s="369" t="n">
        <x:f>IF(ISNUMBER($B25),ABS($B25-'02_Constants'!$D$19)/'02_Constants'!$D$19,"")</x:f>
        <x:v>0.08465563594250296</x:v>
      </x:c>
      <x:c r="Q25" s="369" t="n">
        <x:f>IF(ISNUMBER($B25),ABS($B25-'02_Constants'!$D$20)/'02_Constants'!$D$20,"")</x:f>
        <x:v>1.8588304663877646</x:v>
      </x:c>
      <x:c r="R25" s="369" t="n">
        <x:f>IF(ISNUMBER($B25),ABS($B25-'02_Constants'!$D$21)/'02_Constants'!$D$21,"")</x:f>
        <x:v>1.178424615268934</x:v>
      </x:c>
      <x:c r="S25" s="369" t="n">
        <x:f>IF(ISNUMBER($B25),ABS($B25-'02_Constants'!$D$22)/'02_Constants'!$D$22,"")</x:f>
        <x:v>0.02489772829377598</x:v>
      </x:c>
      <x:c r="T25" s="369" t="n">
        <x:f>IF(ISNUMBER($B25),ABS($B25-'02_Constants'!$D$23)/'02_Constants'!$D$23,"")</x:f>
        <x:v>0.4391781366451068</x:v>
      </x:c>
      <x:c r="U25" s="369" t="n">
        <x:f>IF(ISNUMBER($B25),ABS($B25-'02_Constants'!$D$24)/'02_Constants'!$D$24,"")</x:f>
        <x:v>3.6171582932855775</x:v>
      </x:c>
      <x:c r="V25" s="369" t="n">
        <x:f>IF(ISNUMBER($B25),ABS($B25-'02_Constants'!$D$25)/'02_Constants'!$D$25,"")</x:f>
        <x:v>1.0087726358842424</x:v>
      </x:c>
      <x:c r="W25" s="369" t="n">
        <x:f>IF(ISNUMBER($B25),ABS($B25-'02_Constants'!$D$26)/'02_Constants'!$D$26,"")</x:f>
        <x:v>0.010265879545896153</x:v>
      </x:c>
      <x:c r="X25" s="369" t="n">
        <x:f>IF(ISNUMBER($B25),ABS($B25-'02_Constants'!$D$27)/'02_Constants'!$D$27,"")</x:f>
        <x:v>2.777827307443461</x:v>
      </x:c>
      <x:c r="Y25" s="369" t="n">
        <x:f>IF(ISNUMBER($B25),ABS($B25-'02_Constants'!$D$28)/'02_Constants'!$D$28,"")</x:f>
        <x:v>0.4773813972414641</x:v>
      </x:c>
      <x:c r="Z25" s="369" t="n">
        <x:f>IF(ISNUMBER($B25),ABS($B25-'02_Constants'!$D$29)/'02_Constants'!$D$29,"")</x:f>
        <x:v>1.3206652720620038</x:v>
      </x:c>
      <x:c r="AA25" s="369" t="n">
        <x:f>IF(ISNUMBER($B25),ABS($B25-'02_Constants'!$D$30)/'02_Constants'!$D$30,"")</x:f>
        <x:v>2.026376481691562</x:v>
      </x:c>
      <x:c r="AB25" s="369" t="n">
        <x:f>IF(ISNUMBER($B25),ABS($B25-'02_Constants'!$D$31)/'02_Constants'!$D$31,"")</x:f>
        <x:v>1.265750955249544</x:v>
      </x:c>
      <x:c r="AC25" s="369" t="n">
        <x:f>IF(ISNUMBER($B25),ABS($B25-'02_Constants'!$D$32)/'02_Constants'!$D$32,"")</x:f>
        <x:v>1.0586084089165968</x:v>
      </x:c>
      <x:c r="AD25" s="369" t="n">
        <x:f>IF(ISNUMBER($B25),ABS($B25-'02_Constants'!$D$33)/'02_Constants'!$D$33,"")</x:f>
        <x:v>0.00021250986400507318</x:v>
      </x:c>
    </x:row>
    <x:row r="26">
      <x:c r="A26" s="135" t="str">
        <x:f>'06_Laboratory'!B40</x:f>
        <x:v>Volume / B³</x:v>
      </x:c>
      <x:c r="B26" s="365" t="n">
        <x:f>IF('06_Laboratory'!F40="","",'06_Laboratory'!F40)</x:f>
        <x:v>0.21212121212121213</x:v>
      </x:c>
      <x:c r="C26" s="369" t="n">
        <x:f>IF(ISNUMBER($B26),ABS($B26-'02_Constants'!$D$6)/'02_Constants'!$D$6,"")</x:f>
        <x:v>0.9324797211125293</x:v>
      </x:c>
      <x:c r="D26" s="369" t="n">
        <x:f>IF(ISNUMBER($B26),ABS($B26-'02_Constants'!$D$7)/'02_Constants'!$D$7,"")</x:f>
        <x:v>0.632509605993805</x:v>
      </x:c>
      <x:c r="E26" s="369" t="n">
        <x:f>IF(ISNUMBER($B26),ABS($B26-'02_Constants'!$D$8)/'02_Constants'!$D$8,"")</x:f>
        <x:v>0.8775317610809884</x:v>
      </x:c>
      <x:c r="F26" s="369" t="n">
        <x:f>IF(ISNUMBER($B26),ABS($B26-'02_Constants'!$D$9)/'02_Constants'!$D$9,"")</x:f>
        <x:v>0.9134018777803927</x:v>
      </x:c>
      <x:c r="G26" s="369" t="n">
        <x:f>IF(ISNUMBER($B26),ABS($B26-'02_Constants'!$D$10)/'02_Constants'!$D$10,"")</x:f>
        <x:v>0.8500076524755809</x:v>
      </x:c>
      <x:c r="H26" s="369" t="n">
        <x:f>IF(ISNUMBER($B26),ABS($B26-'02_Constants'!$D$11)/'02_Constants'!$D$11,"")</x:f>
        <x:v>0.9051365100454636</x:v>
      </x:c>
      <x:c r="I26" s="369" t="n">
        <x:f>IF(ISNUMBER($B26),ABS($B26-'02_Constants'!$D$12)/'02_Constants'!$D$12,"")</x:f>
        <x:v>0.8846720276107717</x:v>
      </x:c>
      <x:c r="J26" s="369" t="n">
        <x:f>IF(ISNUMBER($B26),ABS($B26-'02_Constants'!$D$13)/'02_Constants'!$D$13,"")</x:f>
        <x:v>0.8884840670102275</x:v>
      </x:c>
      <x:c r="K26" s="369" t="n">
        <x:f>IF(ISNUMBER($B26),ABS($B26-'02_Constants'!$D$14)/'02_Constants'!$D$14,"")</x:f>
        <x:v>0.6567806690530525</x:v>
      </x:c>
      <x:c r="L26" s="369" t="n">
        <x:f>IF(ISNUMBER($B26),ABS($B26-'02_Constants'!$D$15)/'02_Constants'!$D$15,"")</x:f>
        <x:v>0.8689018811742647</x:v>
      </x:c>
      <x:c r="M26" s="369" t="n">
        <x:f>IF(ISNUMBER($B26),ABS($B26-'02_Constants'!$D$16)/'02_Constants'!$D$16,"")</x:f>
        <x:v>0.9219649670242396</x:v>
      </x:c>
      <x:c r="N26" s="369" t="n">
        <x:f>IF(ISNUMBER($B26),ABS($B26-'02_Constants'!$D$17)/'02_Constants'!$D$17,"")</x:f>
        <x:v>0.8765503955125671</x:v>
      </x:c>
      <x:c r="O26" s="369" t="n">
        <x:f>IF(ISNUMBER($B26),ABS($B26-'02_Constants'!$D$18)/'02_Constants'!$D$18,"")</x:f>
        <x:v>0.8398744344325197</x:v>
      </x:c>
      <x:c r="P26" s="369" t="n">
        <x:f>IF(ISNUMBER($B26),ABS($B26-'02_Constants'!$D$19)/'02_Constants'!$D$19,"")</x:f>
        <x:v>0.9121365170723739</x:v>
      </x:c>
      <x:c r="Q26" s="369" t="n">
        <x:f>IF(ISNUMBER($B26),ABS($B26-'02_Constants'!$D$20)/'02_Constants'!$D$20,"")</x:f>
        <x:v>0.7684179258809896</x:v>
      </x:c>
      <x:c r="R26" s="369" t="n">
        <x:f>IF(ISNUMBER($B26),ABS($B26-'02_Constants'!$D$21)/'02_Constants'!$D$21,"")</x:f>
        <x:v>0.8235347997556074</x:v>
      </x:c>
      <x:c r="S26" s="369" t="n">
        <x:f>IF(ISNUMBER($B26),ABS($B26-'02_Constants'!$D$22)/'02_Constants'!$D$22,"")</x:f>
        <x:v>0.9210109836120458</x:v>
      </x:c>
      <x:c r="T26" s="369" t="n">
        <x:f>IF(ISNUMBER($B26),ABS($B26-'02_Constants'!$D$23)/'02_Constants'!$D$23,"")</x:f>
        <x:v>0.9545701321382944</x:v>
      </x:c>
      <x:c r="U26" s="369" t="n">
        <x:f>IF(ISNUMBER($B26),ABS($B26-'02_Constants'!$D$24)/'02_Constants'!$D$24,"")</x:f>
        <x:v>0.6259830351374764</x:v>
      </x:c>
      <x:c r="V26" s="369" t="n">
        <x:f>IF(ISNUMBER($B26),ABS($B26-'02_Constants'!$D$25)/'02_Constants'!$D$25,"")</x:f>
        <x:v>0.8372776074268664</x:v>
      </x:c>
      <x:c r="W26" s="369" t="n">
        <x:f>IF(ISNUMBER($B26),ABS($B26-'02_Constants'!$D$26)/'02_Constants'!$D$26,"")</x:f>
        <x:v>0.9198257178465277</x:v>
      </x:c>
      <x:c r="X26" s="369" t="n">
        <x:f>IF(ISNUMBER($B26),ABS($B26-'02_Constants'!$D$27)/'02_Constants'!$D$27,"")</x:f>
        <x:v>0.6939737792053713</x:v>
      </x:c>
      <x:c r="Y26" s="369" t="n">
        <x:f>IF(ISNUMBER($B26),ABS($B26-'02_Constants'!$D$28)/'02_Constants'!$D$28,"")</x:f>
        <x:v>0.880323421671688</x:v>
      </x:c>
      <x:c r="Z26" s="369" t="n">
        <x:f>IF(ISNUMBER($B26),ABS($B26-'02_Constants'!$D$29)/'02_Constants'!$D$29,"")</x:f>
        <x:v>0.8120124703585059</x:v>
      </x:c>
      <x:c r="AA26" s="369" t="n">
        <x:f>IF(ISNUMBER($B26),ABS($B26-'02_Constants'!$D$30)/'02_Constants'!$D$30,"")</x:f>
        <x:v>0.7548457136807135</x:v>
      </x:c>
      <x:c r="AB26" s="369" t="n">
        <x:f>IF(ISNUMBER($B26),ABS($B26-'02_Constants'!$D$31)/'02_Constants'!$D$31,"")</x:f>
        <x:v>0.8164608528477013</x:v>
      </x:c>
      <x:c r="AC26" s="369" t="n">
        <x:f>IF(ISNUMBER($B26),ABS($B26-'02_Constants'!$D$32)/'02_Constants'!$D$32,"")</x:f>
        <x:v>0.8332406168393345</x:v>
      </x:c>
      <x:c r="AD26" s="369" t="n">
        <x:f>IF(ISNUMBER($B26),ABS($B26-'02_Constants'!$D$33)/'02_Constants'!$D$33,"")</x:f>
        <x:v>0.9189769067045233</x:v>
      </x:c>
    </x:row>
    <x:row r="27">
      <x:c r="A27" s="135" t="str">
        <x:f>'06_Laboratory'!B41</x:f>
        <x:v>Solid angle / π</x:v>
      </x:c>
      <x:c r="B27" s="365" t="n">
        <x:f>IF('06_Laboratory'!F41="","",'06_Laboratory'!F41)</x:f>
        <x:v>0.49864976654816684</x:v>
      </x:c>
      <x:c r="C27" s="369" t="n">
        <x:f>IF(ISNUMBER($B27),ABS($B27-'02_Constants'!$D$6)/'02_Constants'!$D$6,"")</x:f>
        <x:v>0.8412748495644793</x:v>
      </x:c>
      <x:c r="D27" s="369" t="n">
        <x:f>IF(ISNUMBER($B27),ABS($B27-'02_Constants'!$D$7)/'02_Constants'!$D$7,"")</x:f>
        <x:v>0.13611186100912312</x:v>
      </x:c>
      <x:c r="E27" s="369" t="n">
        <x:f>IF(ISNUMBER($B27),ABS($B27-'02_Constants'!$D$8)/'02_Constants'!$D$8,"")</x:f>
        <x:v>0.7121044230520718</x:v>
      </x:c>
      <x:c r="F27" s="369" t="n">
        <x:f>IF(ISNUMBER($B27),ABS($B27-'02_Constants'!$D$9)/'02_Constants'!$D$9,"")</x:f>
        <x:v>0.7964270852665065</x:v>
      </x:c>
      <x:c r="G27" s="369" t="n">
        <x:f>IF(ISNUMBER($B27),ABS($B27-'02_Constants'!$D$10)/'02_Constants'!$D$10,"")</x:f>
        <x:v>0.6474013686367024</x:v>
      </x:c>
      <x:c r="H27" s="369" t="n">
        <x:f>IF(ISNUMBER($B27),ABS($B27-'02_Constants'!$D$11)/'02_Constants'!$D$11,"")</x:f>
        <x:v>0.7769970450067797</x:v>
      </x:c>
      <x:c r="I27" s="369" t="n">
        <x:f>IF(ISNUMBER($B27),ABS($B27-'02_Constants'!$D$12)/'02_Constants'!$D$12,"")</x:f>
        <x:v>0.7288896007462928</x:v>
      </x:c>
      <x:c r="J27" s="369" t="n">
        <x:f>IF(ISNUMBER($B27),ABS($B27-'02_Constants'!$D$13)/'02_Constants'!$D$13,"")</x:f>
        <x:v>0.7378508570846023</x:v>
      </x:c>
      <x:c r="K27" s="369" t="n">
        <x:f>IF(ISNUMBER($B27),ABS($B27-'02_Constants'!$D$14)/'02_Constants'!$D$14,"")</x:f>
        <x:v>0.1931677292428658</x:v>
      </x:c>
      <x:c r="L27" s="369" t="n">
        <x:f>IF(ISNUMBER($B27),ABS($B27-'02_Constants'!$D$15)/'02_Constants'!$D$15,"")</x:f>
        <x:v>0.6918174957910326</x:v>
      </x:c>
      <x:c r="M27" s="369" t="n">
        <x:f>IF(ISNUMBER($B27),ABS($B27-'02_Constants'!$D$16)/'02_Constants'!$D$16,"")</x:f>
        <x:v>0.8165570025419902</x:v>
      </x:c>
      <x:c r="N27" s="369" t="n">
        <x:f>IF(ISNUMBER($B27),ABS($B27-'02_Constants'!$D$17)/'02_Constants'!$D$17,"")</x:f>
        <x:v>0.7097974509831394</x:v>
      </x:c>
      <x:c r="O27" s="369" t="n">
        <x:f>IF(ISNUMBER($B27),ABS($B27-'02_Constants'!$D$18)/'02_Constants'!$D$18,"")</x:f>
        <x:v>0.6235804279536616</x:v>
      </x:c>
      <x:c r="P27" s="369" t="n">
        <x:f>IF(ISNUMBER($B27),ABS($B27-'02_Constants'!$D$19)/'02_Constants'!$D$19,"")</x:f>
        <x:v>0.7934525038215716</x:v>
      </x:c>
      <x:c r="Q27" s="369" t="n">
        <x:f>IF(ISNUMBER($B27),ABS($B27-'02_Constants'!$D$20)/'02_Constants'!$D$20,"")</x:f>
        <x:v>0.45560207750370024</x:v>
      </x:c>
      <x:c r="R27" s="369" t="n">
        <x:f>IF(ISNUMBER($B27),ABS($B27-'02_Constants'!$D$21)/'02_Constants'!$D$21,"")</x:f>
        <x:v>0.5851695828729313</x:v>
      </x:c>
      <x:c r="S27" s="369" t="n">
        <x:f>IF(ISNUMBER($B27),ABS($B27-'02_Constants'!$D$22)/'02_Constants'!$D$22,"")</x:f>
        <x:v>0.8143143998290214</x:v>
      </x:c>
      <x:c r="T27" s="369" t="n">
        <x:f>IF(ISNUMBER($B27),ABS($B27-'02_Constants'!$D$23)/'02_Constants'!$D$23,"")</x:f>
        <x:v>0.8932044901261046</x:v>
      </x:c>
      <x:c r="U27" s="369" t="n">
        <x:f>IF(ISNUMBER($B27),ABS($B27-'02_Constants'!$D$24)/'02_Constants'!$D$24,"")</x:f>
        <x:v>0.12076934527802978</x:v>
      </x:c>
      <x:c r="V27" s="369" t="n">
        <x:f>IF(ISNUMBER($B27),ABS($B27-'02_Constants'!$D$25)/'02_Constants'!$D$25,"")</x:f>
        <x:v>0.6174758655330251</x:v>
      </x:c>
      <x:c r="W27" s="369" t="n">
        <x:f>IF(ISNUMBER($B27),ABS($B27-'02_Constants'!$D$26)/'02_Constants'!$D$26,"")</x:f>
        <x:v>0.811528103770448</x:v>
      </x:c>
      <x:c r="X27" s="369" t="n">
        <x:f>IF(ISNUMBER($B27),ABS($B27-'02_Constants'!$D$27)/'02_Constants'!$D$27,"")</x:f>
        <x:v>0.28060045466052036</x:v>
      </x:c>
      <x:c r="Y27" s="369" t="n">
        <x:f>IF(ISNUMBER($B27),ABS($B27-'02_Constants'!$D$28)/'02_Constants'!$D$28,"")</x:f>
        <x:v>0.7186669958750038</x:v>
      </x:c>
      <x:c r="Z27" s="369" t="n">
        <x:f>IF(ISNUMBER($B27),ABS($B27-'02_Constants'!$D$29)/'02_Constants'!$D$29,"")</x:f>
        <x:v>0.5580831505142826</x:v>
      </x:c>
      <x:c r="AA27" s="369" t="n">
        <x:f>IF(ISNUMBER($B27),ABS($B27-'02_Constants'!$D$30)/'02_Constants'!$D$30,"")</x:f>
        <x:v>0.4236968268334253</x:v>
      </x:c>
      <x:c r="AB27" s="369" t="n">
        <x:f>IF(ISNUMBER($B27),ABS($B27-'02_Constants'!$D$31)/'02_Constants'!$D$31,"")</x:f>
        <x:v>0.5685403078516956</x:v>
      </x:c>
      <x:c r="AC27" s="369" t="n">
        <x:f>IF(ISNUMBER($B27),ABS($B27-'02_Constants'!$D$32)/'02_Constants'!$D$32,"")</x:f>
        <x:v>0.6079857990097411</x:v>
      </x:c>
      <x:c r="AD27" s="369" t="n">
        <x:f>IF(ISNUMBER($B27),ABS($B27-'02_Constants'!$D$33)/'02_Constants'!$D$33,"")</x:f>
        <x:v>0.8095327376608007</x:v>
      </x:c>
    </x:row>
    <x:row r="28">
      <x:c r="A28" s="135" t="str">
        <x:f>'06_Laboratory'!B42</x:f>
        <x:v>Face apex angle / π</x:v>
      </x:c>
      <x:c r="B28" s="365" t="n">
        <x:f>IF('06_Laboratory'!F42="","",'06_Laboratory'!F42)</x:f>
        <x:v>0.35231851139881015</x:v>
      </x:c>
      <x:c r="C28" s="369" t="n">
        <x:f>IF(ISNUMBER($B28),ABS($B28-'02_Constants'!$D$6)/'02_Constants'!$D$6,"")</x:f>
        <x:v>0.8878535347362021</x:v>
      </x:c>
      <x:c r="D28" s="369" t="n">
        <x:f>IF(ISNUMBER($B28),ABS($B28-'02_Constants'!$D$7)/'02_Constants'!$D$7,"")</x:f>
        <x:v>0.3896241338860543</x:v>
      </x:c>
      <x:c r="E28" s="369" t="n">
        <x:f>IF(ISNUMBER($B28),ABS($B28-'02_Constants'!$D$8)/'02_Constants'!$D$8,"")</x:f>
        <x:v>0.7965888126034087</x:v>
      </x:c>
      <x:c r="F28" s="369" t="n">
        <x:f>IF(ISNUMBER($B28),ABS($B28-'02_Constants'!$D$9)/'02_Constants'!$D$9,"")</x:f>
        <x:v>0.8561665700226626</x:v>
      </x:c>
      <x:c r="G28" s="369" t="n">
        <x:f>IF(ISNUMBER($B28),ABS($B28-'02_Constants'!$D$10)/'02_Constants'!$D$10,"")</x:f>
        <x:v>0.7508731914523514</x:v>
      </x:c>
      <x:c r="H28" s="369" t="n">
        <x:f>IF(ISNUMBER($B28),ABS($B28-'02_Constants'!$D$11)/'02_Constants'!$D$11,"")</x:f>
        <x:v>0.8424383717561452</x:v>
      </x:c>
      <x:c r="I28" s="369" t="n">
        <x:f>IF(ISNUMBER($B28),ABS($B28-'02_Constants'!$D$12)/'02_Constants'!$D$12,"")</x:f>
        <x:v>0.8084482963844388</x:v>
      </x:c>
      <x:c r="J28" s="369" t="n">
        <x:f>IF(ISNUMBER($B28),ABS($B28-'02_Constants'!$D$13)/'02_Constants'!$D$13,"")</x:f>
        <x:v>0.8147798274613142</x:v>
      </x:c>
      <x:c r="K28" s="369" t="n">
        <x:f>IF(ISNUMBER($B28),ABS($B28-'02_Constants'!$D$14)/'02_Constants'!$D$14,"")</x:f>
        <x:v>0.42993667369095795</x:v>
      </x:c>
      <x:c r="L28" s="369" t="n">
        <x:f>IF(ISNUMBER($B28),ABS($B28-'02_Constants'!$D$15)/'02_Constants'!$D$15,"")</x:f>
        <x:v>0.7822551850897681</x:v>
      </x:c>
      <x:c r="M28" s="369" t="n">
        <x:f>IF(ISNUMBER($B28),ABS($B28-'02_Constants'!$D$16)/'02_Constants'!$D$16,"")</x:f>
        <x:v>0.8703892629122513</x:v>
      </x:c>
      <x:c r="N28" s="369" t="n">
        <x:f>IF(ISNUMBER($B28),ABS($B28-'02_Constants'!$D$17)/'02_Constants'!$D$17,"")</x:f>
        <x:v>0.7949588329670172</x:v>
      </x:c>
      <x:c r="O28" s="369" t="n">
        <x:f>IF(ISNUMBER($B28),ABS($B28-'02_Constants'!$D$18)/'02_Constants'!$D$18,"")</x:f>
        <x:v>0.7340426243397574</x:v>
      </x:c>
      <x:c r="P28" s="369" t="n">
        <x:f>IF(ISNUMBER($B28),ABS($B28-'02_Constants'!$D$19)/'02_Constants'!$D$19,"")</x:f>
        <x:v>0.8540648943035128</x:v>
      </x:c>
      <x:c r="Q28" s="369" t="n">
        <x:f>IF(ISNUMBER($B28),ABS($B28-'02_Constants'!$D$20)/'02_Constants'!$D$20,"")</x:f>
        <x:v>0.615358356647352</x:v>
      </x:c>
      <x:c r="R28" s="369" t="n">
        <x:f>IF(ISNUMBER($B28),ABS($B28-'02_Constants'!$D$21)/'02_Constants'!$D$21,"")</x:f>
        <x:v>0.7069036328706698</x:v>
      </x:c>
      <x:c r="S28" s="369" t="n">
        <x:f>IF(ISNUMBER($B28),ABS($B28-'02_Constants'!$D$22)/'02_Constants'!$D$22,"")</x:f>
        <x:v>0.86880476312403</x:v>
      </x:c>
      <x:c r="T28" s="369" t="n">
        <x:f>IF(ISNUMBER($B28),ABS($B28-'02_Constants'!$D$23)/'02_Constants'!$D$23,"")</x:f>
        <x:v>0.9245441638861908</x:v>
      </x:c>
      <x:c r="U28" s="369" t="n">
        <x:f>IF(ISNUMBER($B28),ABS($B28-'02_Constants'!$D$24)/'02_Constants'!$D$24,"")</x:f>
        <x:v>0.378783955736749</x:v>
      </x:c>
      <x:c r="V28" s="369" t="n">
        <x:f>IF(ISNUMBER($B28),ABS($B28-'02_Constants'!$D$25)/'02_Constants'!$D$25,"")</x:f>
        <x:v>0.7297294761362236</x:v>
      </x:c>
      <x:c r="W28" s="369" t="n">
        <x:f>IF(ISNUMBER($B28),ABS($B28-'02_Constants'!$D$26)/'02_Constants'!$D$26,"")</x:f>
        <x:v>0.8668361195077533</x:v>
      </x:c>
      <x:c r="X28" s="369" t="n">
        <x:f>IF(ISNUMBER($B28),ABS($B28-'02_Constants'!$D$27)/'02_Constants'!$D$27,"")</x:f>
        <x:v>0.49171183079155484</x:v>
      </x:c>
      <x:c r="Y28" s="369" t="n">
        <x:f>IF(ISNUMBER($B28),ABS($B28-'02_Constants'!$D$28)/'02_Constants'!$D$28,"")</x:f>
        <x:v>0.8012255657777398</x:v>
      </x:c>
      <x:c r="Z28" s="369" t="n">
        <x:f>IF(ISNUMBER($B28),ABS($B28-'02_Constants'!$D$29)/'02_Constants'!$D$29,"")</x:f>
        <x:v>0.68776584886294</x:v>
      </x:c>
      <x:c r="AA28" s="369" t="n">
        <x:f>IF(ISNUMBER($B28),ABS($B28-'02_Constants'!$D$30)/'02_Constants'!$D$30,"")</x:f>
        <x:v>0.5928158605387704</x:v>
      </x:c>
      <x:c r="AB28" s="369" t="n">
        <x:f>IF(ISNUMBER($B28),ABS($B28-'02_Constants'!$D$31)/'02_Constants'!$D$31,"")</x:f>
        <x:v>0.6951543013475049</x:v>
      </x:c>
      <x:c r="AC28" s="369" t="n">
        <x:f>IF(ISNUMBER($B28),ABS($B28-'02_Constants'!$D$32)/'02_Constants'!$D$32,"")</x:f>
        <x:v>0.723024316854381</x:v>
      </x:c>
      <x:c r="AD28" s="369" t="n">
        <x:f>IF(ISNUMBER($B28),ABS($B28-'02_Constants'!$D$33)/'02_Constants'!$D$33,"")</x:f>
        <x:v>0.8654263035114217</x:v>
      </x:c>
    </x:row>
    <x:row r="29">
      <x:c r="A29" s="135" t="str">
        <x:f>'06_Laboratory'!B43</x:f>
        <x:v>Dihedral angle / π</x:v>
      </x:c>
      <x:c r="B29" s="365" t="n">
        <x:f>IF('06_Laboratory'!F43="","",'06_Laboratory'!F43)</x:f>
        <x:v>0.37533755836295835</x:v>
      </x:c>
      <x:c r="C29" s="369" t="n">
        <x:f>IF(ISNUMBER($B29),ABS($B29-'02_Constants'!$D$6)/'02_Constants'!$D$6,"")</x:f>
        <x:v>0.8805263445169847</x:v>
      </x:c>
      <x:c r="D29" s="369" t="n">
        <x:f>IF(ISNUMBER($B29),ABS($B29-'02_Constants'!$D$7)/'02_Constants'!$D$7,"")</x:f>
        <x:v>0.3497446774474024</x:v>
      </x:c>
      <x:c r="E29" s="369" t="n">
        <x:f>IF(ISNUMBER($B29),ABS($B29-'02_Constants'!$D$8)/'02_Constants'!$D$8,"")</x:f>
        <x:v>0.7832987596421691</x:v>
      </x:c>
      <x:c r="F29" s="369" t="n">
        <x:f>IF(ISNUMBER($B29),ABS($B29-'02_Constants'!$D$9)/'02_Constants'!$D$9,"")</x:f>
        <x:v>0.8467690834514418</x:v>
      </x:c>
      <x:c r="G29" s="369" t="n">
        <x:f>IF(ISNUMBER($B29),ABS($B29-'02_Constants'!$D$10)/'02_Constants'!$D$10,"")</x:f>
        <x:v>0.7345962672475507</x:v>
      </x:c>
      <x:c r="H29" s="369" t="n">
        <x:f>IF(ISNUMBER($B29),ABS($B29-'02_Constants'!$D$11)/'02_Constants'!$D$11,"")</x:f>
        <x:v>0.8321439409983261</x:v>
      </x:c>
      <x:c r="I29" s="369" t="n">
        <x:f>IF(ISNUMBER($B29),ABS($B29-'02_Constants'!$D$12)/'02_Constants'!$D$12,"")</x:f>
        <x:v>0.7959330934673886</x:v>
      </x:c>
      <x:c r="J29" s="369" t="n">
        <x:f>IF(ISNUMBER($B29),ABS($B29-'02_Constants'!$D$13)/'02_Constants'!$D$13,"")</x:f>
        <x:v>0.8026783008243858</x:v>
      </x:c>
      <x:c r="K29" s="369" t="n">
        <x:f>IF(ISNUMBER($B29),ABS($B29-'02_Constants'!$D$14)/'02_Constants'!$D$14,"")</x:f>
        <x:v>0.3926910733143361</x:v>
      </x:c>
      <x:c r="L29" s="369" t="n">
        <x:f>IF(ISNUMBER($B29),ABS($B29-'02_Constants'!$D$15)/'02_Constants'!$D$15,"")</x:f>
        <x:v>0.7680286316772944</x:v>
      </x:c>
      <x:c r="M29" s="369" t="n">
        <x:f>IF(ISNUMBER($B29),ABS($B29-'02_Constants'!$D$16)/'02_Constants'!$D$16,"")</x:f>
        <x:v>0.8619210287787813</x:v>
      </x:c>
      <x:c r="N29" s="369" t="n">
        <x:f>IF(ISNUMBER($B29),ABS($B29-'02_Constants'!$D$17)/'02_Constants'!$D$17,"")</x:f>
        <x:v>0.7815622838195518</x:v>
      </x:c>
      <x:c r="O29" s="369" t="n">
        <x:f>IF(ISNUMBER($B29),ABS($B29-'02_Constants'!$D$18)/'02_Constants'!$D$18,"")</x:f>
        <x:v>0.7166660598882382</x:v>
      </x:c>
      <x:c r="P29" s="369" t="n">
        <x:f>IF(ISNUMBER($B29),ABS($B29-'02_Constants'!$D$19)/'02_Constants'!$D$19,"")</x:f>
        <x:v>0.8445300928580595</x:v>
      </x:c>
      <x:c r="Q29" s="369" t="n">
        <x:f>IF(ISNUMBER($B29),ABS($B29-'02_Constants'!$D$20)/'02_Constants'!$D$20,"")</x:f>
        <x:v>0.5902274487721219</x:v>
      </x:c>
      <x:c r="R29" s="369" t="n">
        <x:f>IF(ISNUMBER($B29),ABS($B29-'02_Constants'!$D$21)/'02_Constants'!$D$21,"")</x:f>
        <x:v>0.6877539179914133</x:v>
      </x:c>
      <x:c r="S29" s="369" t="n">
        <x:f>IF(ISNUMBER($B29),ABS($B29-'02_Constants'!$D$22)/'02_Constants'!$D$22,"")</x:f>
        <x:v>0.860233004271138</x:v>
      </x:c>
      <x:c r="T29" s="369" t="n">
        <x:f>IF(ISNUMBER($B29),ABS($B29-'02_Constants'!$D$23)/'02_Constants'!$D$23,"")</x:f>
        <x:v>0.9196141889373105</x:v>
      </x:c>
      <x:c r="U29" s="369" t="n">
        <x:f>IF(ISNUMBER($B29),ABS($B29-'02_Constants'!$D$24)/'02_Constants'!$D$24,"")</x:f>
        <x:v>0.3381962465045442</x:v>
      </x:c>
      <x:c r="V29" s="369" t="n">
        <x:f>IF(ISNUMBER($B29),ABS($B29-'02_Constants'!$D$25)/'02_Constants'!$D$25,"")</x:f>
        <x:v>0.7120711082657859</x:v>
      </x:c>
      <x:c r="W29" s="369" t="n">
        <x:f>IF(ISNUMBER($B29),ABS($B29-'02_Constants'!$D$26)/'02_Constants'!$D$26,"")</x:f>
        <x:v>0.8581357375527743</x:v>
      </x:c>
      <x:c r="X29" s="369" t="n">
        <x:f>IF(ISNUMBER($B29),ABS($B29-'02_Constants'!$D$27)/'02_Constants'!$D$27,"")</x:f>
        <x:v>0.4585023658903881</x:v>
      </x:c>
      <x:c r="Y29" s="369" t="n">
        <x:f>IF(ISNUMBER($B29),ABS($B29-'02_Constants'!$D$28)/'02_Constants'!$D$28,"")</x:f>
        <x:v>0.7882384592573708</x:v>
      </x:c>
      <x:c r="Z29" s="369" t="n">
        <x:f>IF(ISNUMBER($B29),ABS($B29-'02_Constants'!$D$29)/'02_Constants'!$D$29,"")</x:f>
        <x:v>0.6673657496450504</x:v>
      </x:c>
      <x:c r="AA29" s="369" t="n">
        <x:f>IF(ISNUMBER($B29),ABS($B29-'02_Constants'!$D$30)/'02_Constants'!$D$30,"")</x:f>
        <x:v>0.5662121183961827</x:v>
      </x:c>
      <x:c r="AB29" s="369" t="n">
        <x:f>IF(ISNUMBER($B29),ABS($B29-'02_Constants'!$D$31)/'02_Constants'!$D$31,"")</x:f>
        <x:v>0.6752369333209435</x:v>
      </x:c>
      <x:c r="AC29" s="369" t="n">
        <x:f>IF(ISNUMBER($B29),ABS($B29-'02_Constants'!$D$32)/'02_Constants'!$D$32,"")</x:f>
        <x:v>0.704927861368853</x:v>
      </x:c>
      <x:c r="AD29" s="369" t="n">
        <x:f>IF(ISNUMBER($B29),ABS($B29-'02_Constants'!$D$33)/'02_Constants'!$D$33,"")</x:f>
        <x:v>0.8566338099597471</x:v>
      </x:c>
    </x:row>
    <x:row r="30">
      <x:c r="A30" s="135" t="str">
        <x:f>'06_Laboratory'!B44</x:f>
        <x:v>√π lead</x:v>
      </x:c>
      <x:c r="B30" s="365" t="n">
        <x:f>IF('06_Laboratory'!F44="","",'06_Laboratory'!F44)</x:f>
        <x:v>1.7727272727272727</x:v>
      </x:c>
      <x:c r="C30" s="369" t="n">
        <x:f>IF(ISNUMBER($B30),ABS($B30-'02_Constants'!$D$6)/'02_Constants'!$D$6,"")</x:f>
        <x:v>0.43572338358328017</x:v>
      </x:c>
      <x:c r="D30" s="369" t="n">
        <x:f>IF(ISNUMBER($B30),ABS($B30-'02_Constants'!$D$7)/'02_Constants'!$D$7,"")</x:f>
        <x:v>2.0711697213374864</x:v>
      </x:c>
      <x:c r="E30" s="369" t="n">
        <x:f>IF(ISNUMBER($B30),ABS($B30-'02_Constants'!$D$8)/'02_Constants'!$D$8,"")</x:f>
        <x:v>0.023484568108882085</x:v>
      </x:c>
      <x:c r="F30" s="369" t="n">
        <x:f>IF(ISNUMBER($B30),ABS($B30-'02_Constants'!$D$9)/'02_Constants'!$D$9,"")</x:f>
        <x:v>0.2762871214504246</x:v>
      </x:c>
      <x:c r="G30" s="369" t="n">
        <x:f>IF(ISNUMBER($B30),ABS($B30-'02_Constants'!$D$10)/'02_Constants'!$D$10,"")</x:f>
        <x:v>0.2535074757397887</x:v>
      </x:c>
      <x:c r="H30" s="369" t="n">
        <x:f>IF(ISNUMBER($B30),ABS($B30-'02_Constants'!$D$11)/'02_Constants'!$D$11,"")</x:f>
        <x:v>0.2072122625228019</x:v>
      </x:c>
      <x:c r="I30" s="369" t="n">
        <x:f>IF(ISNUMBER($B30),ABS($B30-'02_Constants'!$D$12)/'02_Constants'!$D$12,"")</x:f>
        <x:v>0.036187659318591824</x:v>
      </x:c>
      <x:c r="J30" s="369" t="n">
        <x:f>IF(ISNUMBER($B30),ABS($B30-'02_Constants'!$D$13)/'02_Constants'!$D$13,"")</x:f>
        <x:v>0.06804541715690185</x:v>
      </x:c>
      <x:c r="K30" s="369" t="n">
        <x:f>IF(ISNUMBER($B30),ABS($B30-'02_Constants'!$D$14)/'02_Constants'!$D$14,"")</x:f>
        <x:v>1.8683329800566315</x:v>
      </x:c>
      <x:c r="L30" s="369" t="n">
        <x:f>IF(ISNUMBER($B30),ABS($B30-'02_Constants'!$D$15)/'02_Constants'!$D$15,"")</x:f>
        <x:v>0.095605707329359</x:v>
      </x:c>
      <x:c r="M30" s="369" t="n">
        <x:f>IF(ISNUMBER($B30),ABS($B30-'02_Constants'!$D$16)/'02_Constants'!$D$16,"")</x:f>
        <x:v>0.34785008155971586</x:v>
      </x:c>
      <x:c r="N30" s="369" t="n">
        <x:f>IF(ISNUMBER($B30),ABS($B30-'02_Constants'!$D$17)/'02_Constants'!$D$17,"")</x:f>
        <x:v>0.031685980359260554</x:v>
      </x:c>
      <x:c r="O30" s="369" t="n">
        <x:f>IF(ISNUMBER($B30),ABS($B30-'02_Constants'!$D$18)/'02_Constants'!$D$18,"")</x:f>
        <x:v>0.338192226528228</x:v>
      </x:c>
      <x:c r="P30" s="369" t="n">
        <x:f>IF(ISNUMBER($B30),ABS($B30-'02_Constants'!$D$19)/'02_Constants'!$D$19,"")</x:f>
        <x:v>0.2657123212476951</x:v>
      </x:c>
      <x:c r="Q30" s="369" t="n">
        <x:f>IF(ISNUMBER($B30),ABS($B30-'02_Constants'!$D$20)/'02_Constants'!$D$20,"")</x:f>
        <x:v>0.9353644765660154</x:v>
      </x:c>
      <x:c r="R30" s="369" t="n">
        <x:f>IF(ISNUMBER($B30),ABS($B30-'02_Constants'!$D$21)/'02_Constants'!$D$21,"")</x:f>
        <x:v>0.47474488775670903</x:v>
      </x:c>
      <x:c r="S30" s="369" t="n">
        <x:f>IF(ISNUMBER($B30),ABS($B30-'02_Constants'!$D$22)/'02_Constants'!$D$22,"")</x:f>
        <x:v>0.3398775059006676</x:v>
      </x:c>
      <x:c r="T30" s="369" t="n">
        <x:f>IF(ISNUMBER($B30),ABS($B30-'02_Constants'!$D$23)/'02_Constants'!$D$23,"")</x:f>
        <x:v>0.6203361042986031</x:v>
      </x:c>
      <x:c r="U30" s="369" t="n">
        <x:f>IF(ISNUMBER($B30),ABS($B30-'02_Constants'!$D$24)/'02_Constants'!$D$24,"")</x:f>
        <x:v>2.1257132063510893</x:v>
      </x:c>
      <x:c r="V30" s="369" t="n">
        <x:f>IF(ISNUMBER($B30),ABS($B30-'02_Constants'!$D$25)/'02_Constants'!$D$25,"")</x:f>
        <x:v>0.3598942807897595</x:v>
      </x:c>
      <x:c r="W30" s="369" t="n">
        <x:f>IF(ISNUMBER($B30),ABS($B30-'02_Constants'!$D$26)/'02_Constants'!$D$26,"")</x:f>
        <x:v>0.32997207057455175</x:v>
      </x:c>
      <x:c r="X30" s="369" t="n">
        <x:f>IF(ISNUMBER($B30),ABS($B30-'02_Constants'!$D$27)/'02_Constants'!$D$27,"")</x:f>
        <x:v>1.5575048452122535</x:v>
      </x:c>
      <x:c r="Y30" s="369" t="n">
        <x:f>IF(ISNUMBER($B30),ABS($B30-'02_Constants'!$D$28)/'02_Constants'!$D$28,"")</x:f>
        <x:v>0.00015426174374985206</x:v>
      </x:c>
      <x:c r="Z30" s="369" t="n">
        <x:f>IF(ISNUMBER($B30),ABS($B30-'02_Constants'!$D$29)/'02_Constants'!$D$29,"")</x:f>
        <x:v>0.5710386405753437</x:v>
      </x:c>
      <x:c r="AA30" s="369" t="n">
        <x:f>IF(ISNUMBER($B30),ABS($B30-'02_Constants'!$D$30)/'02_Constants'!$D$30,"")</x:f>
        <x:v>1.0487893928111793</x:v>
      </x:c>
      <x:c r="AB30" s="369" t="n">
        <x:f>IF(ISNUMBER($B30),ABS($B30-'02_Constants'!$D$31)/'02_Constants'!$D$31,"")</x:f>
        <x:v>0.5338628726299245</x:v>
      </x:c>
      <x:c r="AC30" s="369" t="n">
        <x:f>IF(ISNUMBER($B30),ABS($B30-'02_Constants'!$D$32)/'02_Constants'!$D$32,"")</x:f>
        <x:v>0.39363198784270487</x:v>
      </x:c>
      <x:c r="AD30" s="369" t="n">
        <x:f>IF(ISNUMBER($B30),ABS($B30-'02_Constants'!$D$33)/'02_Constants'!$D$33,"")</x:f>
        <x:v>0.3228784346020863</x:v>
      </x:c>
    </x:row>
    <x:row r="31">
      <x:c r="A31" s="135" t="str">
        <x:f>'06_Laboratory'!B45</x:f>
        <x:v>2/√π lead</x:v>
      </x:c>
      <x:c r="B31" s="365" t="n">
        <x:f>IF('06_Laboratory'!F45="","",'06_Laboratory'!F45)</x:f>
        <x:v>1.1282051282051282</x:v>
      </x:c>
      <x:c r="C31" s="369" t="n">
        <x:f>IF(ISNUMBER($B31),ABS($B31-'02_Constants'!$D$6)/'02_Constants'!$D$6,"")</x:f>
        <x:v>0.6408811540490567</x:v>
      </x:c>
      <x:c r="D31" s="369" t="n">
        <x:f>IF(ISNUMBER($B31),ABS($B31-'02_Constants'!$D$7)/'02_Constants'!$D$7,"")</x:f>
        <x:v>0.9545642933955865</x:v>
      </x:c>
      <x:c r="E31" s="369" t="n">
        <x:f>IF(ISNUMBER($B31),ABS($B31-'02_Constants'!$D$8)/'02_Constants'!$D$8,"")</x:f>
        <x:v>0.34863046552965293</x:v>
      </x:c>
      <x:c r="F31" s="369" t="n">
        <x:f>IF(ISNUMBER($B31),ABS($B31-'02_Constants'!$D$9)/'02_Constants'!$D$9,"")</x:f>
        <x:v>0.539412185117693</x:v>
      </x:c>
      <x:c r="G31" s="369" t="n">
        <x:f>IF(ISNUMBER($B31),ABS($B31-'02_Constants'!$D$10)/'02_Constants'!$D$10,"")</x:f>
        <x:v>0.20223850327671566</x:v>
      </x:c>
      <x:c r="H31" s="369" t="n">
        <x:f>IF(ISNUMBER($B31),ABS($B31-'02_Constants'!$D$11)/'02_Constants'!$D$11,"")</x:f>
        <x:v>0.49545132815389364</x:v>
      </x:c>
      <x:c r="I31" s="369" t="n">
        <x:f>IF(ISNUMBER($B31),ABS($B31-'02_Constants'!$D$12)/'02_Constants'!$D$12,"")</x:f>
        <x:v>0.38660726773201637</x:v>
      </x:c>
      <x:c r="J31" s="369" t="n">
        <x:f>IF(ISNUMBER($B31),ABS($B31-'02_Constants'!$D$13)/'02_Constants'!$D$13,"")</x:f>
        <x:v>0.4068822904719796</x:v>
      </x:c>
      <x:c r="K31" s="369" t="n">
        <x:f>IF(ISNUMBER($B31),ABS($B31-'02_Constants'!$D$14)/'02_Constants'!$D$14,"")</x:f>
        <x:v>0.82547424371783</x:v>
      </x:c>
      <x:c r="L31" s="369" t="n">
        <x:f>IF(ISNUMBER($B31),ABS($B31-'02_Constants'!$D$15)/'02_Constants'!$D$15,"")</x:f>
        <x:v>0.3027308844872981</x:v>
      </x:c>
      <x:c r="M31" s="369" t="n">
        <x:f>IF(ISNUMBER($B31),ABS($B31-'02_Constants'!$D$16)/'02_Constants'!$D$16,"")</x:f>
        <x:v>0.584956527909142</x:v>
      </x:c>
      <x:c r="N31" s="369" t="n">
        <x:f>IF(ISNUMBER($B31),ABS($B31-'02_Constants'!$D$17)/'02_Constants'!$D$17,"")</x:f>
        <x:v>0.3434108948140932</x:v>
      </x:c>
      <x:c r="O31" s="369" t="n">
        <x:f>IF(ISNUMBER($B31),ABS($B31-'02_Constants'!$D$18)/'02_Constants'!$D$18,"")</x:f>
        <x:v>0.14834314577296204</x:v>
      </x:c>
      <x:c r="P31" s="369" t="n">
        <x:f>IF(ISNUMBER($B31),ABS($B31-'02_Constants'!$D$19)/'02_Constants'!$D$19,"")</x:f>
        <x:v>0.5326821347585594</x:v>
      </x:c>
      <x:c r="Q31" s="369" t="n">
        <x:f>IF(ISNUMBER($B31),ABS($B31-'02_Constants'!$D$20)/'02_Constants'!$D$20,"")</x:f>
        <x:v>0.23171125135825302</x:v>
      </x:c>
      <x:c r="R31" s="369" t="n">
        <x:f>IF(ISNUMBER($B31),ABS($B31-'02_Constants'!$D$21)/'02_Constants'!$D$21,"")</x:f>
        <x:v>0.06143783606279137</x:v>
      </x:c>
      <x:c r="S31" s="369" t="n">
        <x:f>IF(ISNUMBER($B31),ABS($B31-'02_Constants'!$D$22)/'02_Constants'!$D$22,"")</x:f>
        <x:v>0.5798825941563749</x:v>
      </x:c>
      <x:c r="T31" s="369" t="n">
        <x:f>IF(ISNUMBER($B31),ABS($B31-'02_Constants'!$D$23)/'02_Constants'!$D$23,"")</x:f>
        <x:v>0.7583730104937855</x:v>
      </x:c>
      <x:c r="U31" s="369" t="n">
        <x:f>IF(ISNUMBER($B31),ABS($B31-'02_Constants'!$D$24)/'02_Constants'!$D$24,"")</x:f>
        <x:v>0.9892770438841909</x:v>
      </x:c>
      <x:c r="V31" s="369" t="n">
        <x:f>IF(ISNUMBER($B31),ABS($B31-'02_Constants'!$D$25)/'02_Constants'!$D$25,"")</x:f>
        <x:v>0.13453145049014648</x:v>
      </x:c>
      <x:c r="W31" s="369" t="n">
        <x:f>IF(ISNUMBER($B31),ABS($B31-'02_Constants'!$D$26)/'02_Constants'!$D$26,"")</x:f>
        <x:v>0.5735785432716412</x:v>
      </x:c>
      <x:c r="X31" s="369" t="n">
        <x:f>IF(ISNUMBER($B31),ABS($B31-'02_Constants'!$D$27)/'02_Constants'!$D$27,"")</x:f>
        <x:v>0.6276559435670357</x:v>
      </x:c>
      <x:c r="Y31" s="369" t="n">
        <x:f>IF(ISNUMBER($B31),ABS($B31-'02_Constants'!$D$28)/'02_Constants'!$D$28,"")</x:f>
        <x:v>0.3634784185615057</x:v>
      </x:c>
      <x:c r="Z31" s="369" t="n">
        <x:f>IF(ISNUMBER($B31),ABS($B31-'02_Constants'!$D$29)/'02_Constants'!$D$29,"")</x:f>
        <x:v>0.0001542379507345452</x:v>
      </x:c>
      <x:c r="AA31" s="369" t="n">
        <x:f>IF(ISNUMBER($B31),ABS($B31-'02_Constants'!$D$30)/'02_Constants'!$D$30,"")</x:f>
        <x:v>0.3038975228410399</x:v>
      </x:c>
      <x:c r="AB31" s="369" t="n">
        <x:f>IF(ISNUMBER($B31),ABS($B31-'02_Constants'!$D$31)/'02_Constants'!$D$31,"")</x:f>
        <x:v>0.023813766794367617</x:v>
      </x:c>
      <x:c r="AC31" s="369" t="n">
        <x:f>IF(ISNUMBER($B31),ABS($B31-'02_Constants'!$D$32)/'02_Constants'!$D$32,"")</x:f>
        <x:v>0.11305998406854811</x:v>
      </x:c>
      <x:c r="AD31" s="369" t="n">
        <x:f>IF(ISNUMBER($B31),ABS($B31-'02_Constants'!$D$33)/'02_Constants'!$D$33,"")</x:f>
        <x:v>0.5690639873075737</x:v>
      </x:c>
    </x:row>
    <x:row r="32">
      <x:c r="A32" s="135" t="str">
        <x:f>'06_Laboratory'!B46</x:f>
        <x:v>Apéry lead</x:v>
      </x:c>
      <x:c r="B32" s="365" t="n">
        <x:f>IF('06_Laboratory'!F46="","",'06_Laboratory'!F46)</x:f>
        <x:v>1.2022906203222892</x:v>
      </x:c>
      <x:c r="C32" s="369" t="n">
        <x:f>IF(ISNUMBER($B32),ABS($B32-'02_Constants'!$D$6)/'02_Constants'!$D$6,"")</x:f>
        <x:v>0.6172990094853731</x:v>
      </x:c>
      <x:c r="D32" s="369" t="n">
        <x:f>IF(ISNUMBER($B32),ABS($B32-'02_Constants'!$D$7)/'02_Constants'!$D$7,"")</x:f>
        <x:v>1.08291405349747</x:v>
      </x:c>
      <x:c r="E32" s="369" t="n">
        <x:f>IF(ISNUMBER($B32),ABS($B32-'02_Constants'!$D$8)/'02_Constants'!$D$8,"")</x:f>
        <x:v>0.3058571867127642</x:v>
      </x:c>
      <x:c r="F32" s="369" t="n">
        <x:f>IF(ISNUMBER($B32),ABS($B32-'02_Constants'!$D$9)/'02_Constants'!$D$9,"")</x:f>
        <x:v>0.509166909612688</x:v>
      </x:c>
      <x:c r="G32" s="369" t="n">
        <x:f>IF(ISNUMBER($B32),ABS($B32-'02_Constants'!$D$10)/'02_Constants'!$D$10,"")</x:f>
        <x:v>0.14985214941312863</x:v>
      </x:c>
      <x:c r="H32" s="369" t="n">
        <x:f>IF(ISNUMBER($B32),ABS($B32-'02_Constants'!$D$11)/'02_Constants'!$D$11,"")</x:f>
        <x:v>0.4623192888497943</x:v>
      </x:c>
      <x:c r="I32" s="369" t="n">
        <x:f>IF(ISNUMBER($B32),ABS($B32-'02_Constants'!$D$12)/'02_Constants'!$D$12,"")</x:f>
        <x:v>0.3463277996680305</x:v>
      </x:c>
      <x:c r="J32" s="369" t="n">
        <x:f>IF(ISNUMBER($B32),ABS($B32-'02_Constants'!$D$13)/'02_Constants'!$D$13,"")</x:f>
        <x:v>0.36793421596385045</x:v>
      </x:c>
      <x:c r="K32" s="369" t="n">
        <x:f>IF(ISNUMBER($B32),ABS($B32-'02_Constants'!$D$14)/'02_Constants'!$D$14,"")</x:f>
        <x:v>0.9453470880366588</x:v>
      </x:c>
      <x:c r="L32" s="369" t="n">
        <x:f>IF(ISNUMBER($B32),ABS($B32-'02_Constants'!$D$15)/'02_Constants'!$D$15,"")</x:f>
        <x:v>0.25694353228563027</x:v>
      </x:c>
      <x:c r="M32" s="369" t="n">
        <x:f>IF(ISNUMBER($B32),ABS($B32-'02_Constants'!$D$16)/'02_Constants'!$D$16,"")</x:f>
        <x:v>0.5577019984701695</x:v>
      </x:c>
      <x:c r="N32" s="369" t="n">
        <x:f>IF(ISNUMBER($B32),ABS($B32-'02_Constants'!$D$17)/'02_Constants'!$D$17,"")</x:f>
        <x:v>0.3002948640849544</x:v>
      </x:c>
      <x:c r="O32" s="369" t="n">
        <x:f>IF(ISNUMBER($B32),ABS($B32-'02_Constants'!$D$18)/'02_Constants'!$D$18,"")</x:f>
        <x:v>0.09241766238082182</x:v>
      </x:c>
      <x:c r="P32" s="369" t="n">
        <x:f>IF(ISNUMBER($B32),ABS($B32-'02_Constants'!$D$19)/'02_Constants'!$D$19,"")</x:f>
        <x:v>0.5019949191485463</x:v>
      </x:c>
      <x:c r="Q32" s="369" t="n">
        <x:f>IF(ISNUMBER($B32),ABS($B32-'02_Constants'!$D$20)/'02_Constants'!$D$20,"")</x:f>
        <x:v>0.3125936475837461</x:v>
      </x:c>
      <x:c r="R32" s="369" t="n">
        <x:f>IF(ISNUMBER($B32),ABS($B32-'02_Constants'!$D$21)/'02_Constants'!$D$21,"")</x:f>
        <x:v>0.0001944310307447461</x:v>
      </x:c>
      <x:c r="S32" s="369" t="n">
        <x:f>IF(ISNUMBER($B32),ABS($B32-'02_Constants'!$D$22)/'02_Constants'!$D$22,"")</x:f>
        <x:v>0.5522948763018865</x:v>
      </x:c>
      <x:c r="T32" s="369" t="n">
        <x:f>IF(ISNUMBER($B32),ABS($B32-'02_Constants'!$D$23)/'02_Constants'!$D$23,"")</x:f>
        <x:v>0.7425061667976972</x:v>
      </x:c>
      <x:c r="U32" s="369" t="n">
        <x:f>IF(ISNUMBER($B32),ABS($B32-'02_Constants'!$D$24)/'02_Constants'!$D$24,"")</x:f>
        <x:v>1.1199062752793665</x:v>
      </x:c>
      <x:c r="V32" s="369" t="n">
        <x:f>IF(ISNUMBER($B32),ABS($B32-'02_Constants'!$D$25)/'02_Constants'!$D$25,"")</x:f>
        <x:v>0.07769899883805201</x:v>
      </x:c>
      <x:c r="W32" s="369" t="n">
        <x:f>IF(ISNUMBER($B32),ABS($B32-'02_Constants'!$D$26)/'02_Constants'!$D$26,"")</x:f>
        <x:v>0.5455768592859491</x:v>
      </x:c>
      <x:c r="X32" s="369" t="n">
        <x:f>IF(ISNUMBER($B32),ABS($B32-'02_Constants'!$D$27)/'02_Constants'!$D$27,"")</x:f>
        <x:v>0.7345387156462823</x:v>
      </x:c>
      <x:c r="Y32" s="369" t="n">
        <x:f>IF(ISNUMBER($B32),ABS($B32-'02_Constants'!$D$28)/'02_Constants'!$D$28,"")</x:f>
        <x:v>0.32168015561699403</x:v>
      </x:c>
      <x:c r="Z32" s="369" t="n">
        <x:f>IF(ISNUMBER($B32),ABS($B32-'02_Constants'!$D$29)/'02_Constants'!$D$29,"")</x:f>
        <x:v>0.06550231994891156</x:v>
      </x:c>
      <x:c r="AA32" s="369" t="n">
        <x:f>IF(ISNUMBER($B32),ABS($B32-'02_Constants'!$D$30)/'02_Constants'!$D$30,"")</x:f>
        <x:v>0.3895201523035626</x:v>
      </x:c>
      <x:c r="AB32" s="369" t="n">
        <x:f>IF(ISNUMBER($B32),ABS($B32-'02_Constants'!$D$31)/'02_Constants'!$D$31,"")</x:f>
        <x:v>0.04028914824918786</x:v>
      </x:c>
      <x:c r="AC32" s="369" t="n">
        <x:f>IF(ISNUMBER($B32),ABS($B32-'02_Constants'!$D$32)/'02_Constants'!$D$32,"")</x:f>
        <x:v>0.05481757236880529</x:v>
      </x:c>
      <x:c r="AD32" s="369" t="n">
        <x:f>IF(ISNUMBER($B32),ABS($B32-'02_Constants'!$D$33)/'02_Constants'!$D$33,"")</x:f>
        <x:v>0.5407658473920806</x:v>
      </x:c>
    </x:row>
    <x:row r="33">
      <x:c r="A33" s="135" t="str">
        <x:f>'06_Laboratory'!B47</x:f>
        <x:v>Conway lead</x:v>
      </x:c>
      <x:c r="B33" s="365" t="n">
        <x:f>IF('06_Laboratory'!F47="","",'06_Laboratory'!F47)</x:f>
        <x:v>1.303836457867317</x:v>
      </x:c>
      <x:c r="C33" s="369" t="n">
        <x:f>IF(ISNUMBER($B33),ABS($B33-'02_Constants'!$D$6)/'02_Constants'!$D$6,"")</x:f>
        <x:v>0.5849759654939776</x:v>
      </x:c>
      <x:c r="D33" s="369" t="n">
        <x:f>IF(ISNUMBER($B33),ABS($B33-'02_Constants'!$D$7)/'02_Constants'!$D$7,"")</x:f>
        <x:v>1.2588376185004235</x:v>
      </x:c>
      <x:c r="E33" s="369" t="n">
        <x:f>IF(ISNUMBER($B33),ABS($B33-'02_Constants'!$D$8)/'02_Constants'!$D$8,"")</x:f>
        <x:v>0.24722967007105637</x:v>
      </x:c>
      <x:c r="F33" s="369" t="n">
        <x:f>IF(ISNUMBER($B33),ABS($B33-'02_Constants'!$D$9)/'02_Constants'!$D$9,"")</x:f>
        <x:v>0.4677109950312093</x:v>
      </x:c>
      <x:c r="G33" s="369" t="n">
        <x:f>IF(ISNUMBER($B33),ABS($B33-'02_Constants'!$D$10)/'02_Constants'!$D$10,"")</x:f>
        <x:v>0.078048399083772</x:v>
      </x:c>
      <x:c r="H33" s="369" t="n">
        <x:f>IF(ISNUMBER($B33),ABS($B33-'02_Constants'!$D$11)/'02_Constants'!$D$11,"")</x:f>
        <x:v>0.4169066097332278</x:v>
      </x:c>
      <x:c r="I33" s="369" t="n">
        <x:f>IF(ISNUMBER($B33),ABS($B33-'02_Constants'!$D$12)/'02_Constants'!$D$12,"")</x:f>
        <x:v>0.29111844351018434</x:v>
      </x:c>
      <x:c r="J33" s="369" t="n">
        <x:f>IF(ISNUMBER($B33),ABS($B33-'02_Constants'!$D$13)/'02_Constants'!$D$13,"")</x:f>
        <x:v>0.31454974440713135</x:v>
      </x:c>
      <x:c r="K33" s="369" t="n">
        <x:f>IF(ISNUMBER($B33),ABS($B33-'02_Constants'!$D$14)/'02_Constants'!$D$14,"")</x:f>
        <x:v>1.109651704600589</x:v>
      </x:c>
      <x:c r="L33" s="369" t="n">
        <x:f>IF(ISNUMBER($B33),ABS($B33-'02_Constants'!$D$15)/'02_Constants'!$D$15,"")</x:f>
        <x:v>0.1941847532667279</x:v>
      </x:c>
      <x:c r="M33" s="369" t="n">
        <x:f>IF(ISNUMBER($B33),ABS($B33-'02_Constants'!$D$16)/'02_Constants'!$D$16,"")</x:f>
        <x:v>0.5203453725008186</x:v>
      </x:c>
      <x:c r="N33" s="369" t="n">
        <x:f>IF(ISNUMBER($B33),ABS($B33-'02_Constants'!$D$17)/'02_Constants'!$D$17,"")</x:f>
        <x:v>0.24119755195421155</x:v>
      </x:c>
      <x:c r="O33" s="369" t="n">
        <x:f>IF(ISNUMBER($B33),ABS($B33-'02_Constants'!$D$18)/'02_Constants'!$D$18,"")</x:f>
        <x:v>0.015762977517765456</x:v>
      </x:c>
      <x:c r="P33" s="369" t="n">
        <x:f>IF(ISNUMBER($B33),ABS($B33-'02_Constants'!$D$19)/'02_Constants'!$D$19,"")</x:f>
        <x:v>0.4599332560348608</x:v>
      </x:c>
      <x:c r="Q33" s="369" t="n">
        <x:f>IF(ISNUMBER($B33),ABS($B33-'02_Constants'!$D$20)/'02_Constants'!$D$20,"")</x:f>
        <x:v>0.4234557129173714</x:v>
      </x:c>
      <x:c r="R33" s="369" t="n">
        <x:f>IF(ISNUMBER($B33),ABS($B33-'02_Constants'!$D$21)/'02_Constants'!$D$21,"")</x:f>
        <x:v>0.08467116193933617</x:v>
      </x:c>
      <x:c r="S33" s="369" t="n">
        <x:f>IF(ISNUMBER($B33),ABS($B33-'02_Constants'!$D$22)/'02_Constants'!$D$22,"")</x:f>
        <x:v>0.5144815631223006</x:v>
      </x:c>
      <x:c r="T33" s="369" t="n">
        <x:f>IF(ISNUMBER($B33),ABS($B33-'02_Constants'!$D$23)/'02_Constants'!$D$23,"")</x:f>
        <x:v>0.7207581580274064</x:v>
      </x:c>
      <x:c r="U33" s="369" t="n">
        <x:f>IF(ISNUMBER($B33),ABS($B33-'02_Constants'!$D$24)/'02_Constants'!$D$24,"")</x:f>
        <x:v>1.2989542147721476</x:v>
      </x:c>
      <x:c r="V33" s="369" t="n">
        <x:f>IF(ISNUMBER($B33),ABS($B33-'02_Constants'!$D$25)/'02_Constants'!$D$25,"")</x:f>
        <x:v>0.00019882889889067849</x:v>
      </x:c>
      <x:c r="W33" s="369" t="n">
        <x:f>IF(ISNUMBER($B33),ABS($B33-'02_Constants'!$D$26)/'02_Constants'!$D$26,"")</x:f>
        <x:v>0.507196140311962</x:v>
      </x:c>
      <x:c r="X33" s="369" t="n">
        <x:f>IF(ISNUMBER($B33),ABS($B33-'02_Constants'!$D$27)/'02_Constants'!$D$27,"")</x:f>
        <x:v>0.8810383918954101</x:v>
      </x:c>
      <x:c r="Y33" s="369" t="n">
        <x:f>IF(ISNUMBER($B33),ABS($B33-'02_Constants'!$D$28)/'02_Constants'!$D$28,"")</x:f>
        <x:v>0.2643890518214567</x:v>
      </x:c>
      <x:c r="Z33" s="369" t="n">
        <x:f>IF(ISNUMBER($B33),ABS($B33-'02_Constants'!$D$29)/'02_Constants'!$D$29,"")</x:f>
        <x:v>0.15549497534896678</x:v>
      </x:c>
      <x:c r="AA33" s="369" t="n">
        <x:f>IF(ISNUMBER($B33),ABS($B33-'02_Constants'!$D$30)/'02_Constants'!$D$30,"")</x:f>
        <x:v>0.506879454011777</x:v>
      </x:c>
      <x:c r="AB33" s="369" t="n">
        <x:f>IF(ISNUMBER($B33),ABS($B33-'02_Constants'!$D$31)/'02_Constants'!$D$31,"")</x:f>
        <x:v>0.12815229137148054</x:v>
      </x:c>
      <x:c r="AC33" s="369" t="n">
        <x:f>IF(ISNUMBER($B33),ABS($B33-'02_Constants'!$D$32)/'02_Constants'!$D$32,"")</x:f>
        <x:v>0.025012827722749778</x:v>
      </x:c>
      <x:c r="AD33" s="369" t="n">
        <x:f>IF(ISNUMBER($B33),ABS($B33-'02_Constants'!$D$33)/'02_Constants'!$D$33,"")</x:f>
        <x:v>0.5019787888659552</x:v>
      </x:c>
    </x:row>
    <x:row r="34">
      <x:c r="A34" s="135" t="str">
        <x:f>'06_Laboratory'!B48</x:f>
        <x:v>Catalan lead</x:v>
      </x:c>
      <x:c r="B34" s="365" t="n">
        <x:f>IF('06_Laboratory'!F48="","",'06_Laboratory'!F48)</x:f>
        <x:v>0.9160898762952973</x:v>
      </x:c>
      <x:c r="C34" s="369" t="n">
        <x:f>IF(ISNUMBER($B34),ABS($B34-'02_Constants'!$D$6)/'02_Constants'!$D$6,"")</x:f>
        <x:v>0.7083995357423211</x:v>
      </x:c>
      <x:c r="D34" s="369" t="n">
        <x:f>IF(ISNUMBER($B34),ABS($B34-'02_Constants'!$D$7)/'02_Constants'!$D$7,"")</x:f>
        <x:v>0.5870842251856988</x:v>
      </x:c>
      <x:c r="E34" s="369" t="n">
        <x:f>IF(ISNUMBER($B34),ABS($B34-'02_Constants'!$D$8)/'02_Constants'!$D$8,"")</x:f>
        <x:v>0.47109526331901913</x:v>
      </x:c>
      <x:c r="F34" s="369" t="n">
        <x:f>IF(ISNUMBER($B34),ABS($B34-'02_Constants'!$D$9)/'02_Constants'!$D$9,"")</x:f>
        <x:v>0.6260078740911932</x:v>
      </x:c>
      <x:c r="G34" s="369" t="n">
        <x:f>IF(ISNUMBER($B34),ABS($B34-'02_Constants'!$D$10)/'02_Constants'!$D$10,"")</x:f>
        <x:v>0.3522266362952499</x:v>
      </x:c>
      <x:c r="H34" s="369" t="n">
        <x:f>IF(ISNUMBER($B34),ABS($B34-'02_Constants'!$D$11)/'02_Constants'!$D$11,"")</x:f>
        <x:v>0.5903121526208684</x:v>
      </x:c>
      <x:c r="I34" s="369" t="n">
        <x:f>IF(ISNUMBER($B34),ABS($B34-'02_Constants'!$D$12)/'02_Constants'!$D$12,"")</x:f>
        <x:v>0.5019319996198034</x:v>
      </x:c>
      <x:c r="J34" s="369" t="n">
        <x:f>IF(ISNUMBER($B34),ABS($B34-'02_Constants'!$D$13)/'02_Constants'!$D$13,"")</x:f>
        <x:v>0.5183950900715251</x:v>
      </x:c>
      <x:c r="K34" s="369" t="n">
        <x:f>IF(ISNUMBER($B34),ABS($B34-'02_Constants'!$D$14)/'02_Constants'!$D$14,"")</x:f>
        <x:v>0.48226455659547746</x:v>
      </x:c>
      <x:c r="L34" s="369" t="n">
        <x:f>IF(ISNUMBER($B34),ABS($B34-'02_Constants'!$D$15)/'02_Constants'!$D$15,"")</x:f>
        <x:v>0.4338253196998197</x:v>
      </x:c>
      <x:c r="M34" s="369" t="n">
        <x:f>IF(ISNUMBER($B34),ABS($B34-'02_Constants'!$D$16)/'02_Constants'!$D$16,"")</x:f>
        <x:v>0.6629893682456703</x:v>
      </x:c>
      <x:c r="N34" s="369" t="n">
        <x:f>IF(ISNUMBER($B34),ABS($B34-'02_Constants'!$D$17)/'02_Constants'!$D$17,"")</x:f>
        <x:v>0.46685703059733424</x:v>
      </x:c>
      <x:c r="O34" s="369" t="n">
        <x:f>IF(ISNUMBER($B34),ABS($B34-'02_Constants'!$D$18)/'02_Constants'!$D$18,"")</x:f>
        <x:v>0.30846421210998454</x:v>
      </x:c>
      <x:c r="P34" s="369" t="n">
        <x:f>IF(ISNUMBER($B34),ABS($B34-'02_Constants'!$D$19)/'02_Constants'!$D$19,"")</x:f>
        <x:v>0.620543148885797</x:v>
      </x:c>
      <x:c r="Q34" s="369" t="n">
        <x:f>IF(ISNUMBER($B34),ABS($B34-'02_Constants'!$D$20)/'02_Constants'!$D$20,"")</x:f>
        <x:v>0.00013568426463647185</x:v>
      </x:c>
      <x:c r="R34" s="369" t="n">
        <x:f>IF(ISNUMBER($B34),ABS($B34-'02_Constants'!$D$21)/'02_Constants'!$D$21,"")</x:f>
        <x:v>0.23789807796339377</x:v>
      </x:c>
      <x:c r="S34" s="369" t="n">
        <x:f>IF(ISNUMBER($B34),ABS($B34-'02_Constants'!$D$22)/'02_Constants'!$D$22,"")</x:f>
        <x:v>0.6588693910999383</x:v>
      </x:c>
      <x:c r="T34" s="369" t="n">
        <x:f>IF(ISNUMBER($B34),ABS($B34-'02_Constants'!$D$23)/'02_Constants'!$D$23,"")</x:f>
        <x:v>0.8038016018607325</x:v>
      </x:c>
      <x:c r="U34" s="369" t="n">
        <x:f>IF(ISNUMBER($B34),ABS($B34-'02_Constants'!$D$24)/'02_Constants'!$D$24,"")</x:f>
        <x:v>0.6152705882024723</x:v>
      </x:c>
      <x:c r="V34" s="369" t="n">
        <x:f>IF(ISNUMBER($B34),ABS($B34-'02_Constants'!$D$25)/'02_Constants'!$D$25,"")</x:f>
        <x:v>0.29724927086681524</x:v>
      </x:c>
      <x:c r="W34" s="369" t="n">
        <x:f>IF(ISNUMBER($B34),ABS($B34-'02_Constants'!$D$26)/'02_Constants'!$D$26,"")</x:f>
        <x:v>0.6537505726769599</x:v>
      </x:c>
      <x:c r="X34" s="369" t="n">
        <x:f>IF(ISNUMBER($B34),ABS($B34-'02_Constants'!$D$27)/'02_Constants'!$D$27,"")</x:f>
        <x:v>0.32163832153980937</x:v>
      </x:c>
      <x:c r="Y34" s="369" t="n">
        <x:f>IF(ISNUMBER($B34),ABS($B34-'02_Constants'!$D$28)/'02_Constants'!$D$28,"")</x:f>
        <x:v>0.4831516342006406</x:v>
      </x:c>
      <x:c r="Z34" s="369" t="n">
        <x:f>IF(ISNUMBER($B34),ABS($B34-'02_Constants'!$D$29)/'02_Constants'!$D$29,"")</x:f>
        <x:v>0.1881364854924213</x:v>
      </x:c>
      <x:c r="AA34" s="369" t="n">
        <x:f>IF(ISNUMBER($B34),ABS($B34-'02_Constants'!$D$30)/'02_Constants'!$D$30,"")</x:f>
        <x:v>0.058750124901057243</x:v>
      </x:c>
      <x:c r="AB34" s="369" t="n">
        <x:f>IF(ISNUMBER($B34),ABS($B34-'02_Constants'!$D$31)/'02_Constants'!$D$31,"")</x:f>
        <x:v>0.20734775683813003</x:v>
      </x:c>
      <x:c r="AC34" s="369" t="n">
        <x:f>IF(ISNUMBER($B34),ABS($B34-'02_Constants'!$D$32)/'02_Constants'!$D$32,"")</x:f>
        <x:v>0.2798146816008246</x:v>
      </x:c>
      <x:c r="AD34" s="369" t="n">
        <x:f>IF(ISNUMBER($B34),ABS($B34-'02_Constants'!$D$33)/'02_Constants'!$D$33,"")</x:f>
        <x:v>0.6500848040048831</x:v>
      </x:c>
    </x:row>
    <x:row r="35">
      <x:c r="A35" s="135" t="str">
        <x:f>'06_Laboratory'!B49</x:f>
        <x:v>√7 lead</x:v>
      </x:c>
      <x:c r="B35" s="365" t="n">
        <x:f>IF('06_Laboratory'!F49="","",'06_Laboratory'!F49)</x:f>
        <x:v>2.646302248343761</x:v>
      </x:c>
      <x:c r="C35" s="369" t="n">
        <x:f>IF(ISNUMBER($B35),ABS($B35-'02_Constants'!$D$6)/'02_Constants'!$D$6,"")</x:f>
        <x:v>0.15765583252178803</x:v>
      </x:c>
      <x:c r="D35" s="369" t="n">
        <x:f>IF(ISNUMBER($B35),ABS($B35-'02_Constants'!$D$7)/'02_Constants'!$D$7,"")</x:f>
        <x:v>3.5845988064014054</x:v>
      </x:c>
      <x:c r="E35" s="369" t="n">
        <x:f>IF(ISNUMBER($B35),ABS($B35-'02_Constants'!$D$8)/'02_Constants'!$D$8,"")</x:f>
        <x:v>0.5278433154383824</x:v>
      </x:c>
      <x:c r="F35" s="369" t="n">
        <x:f>IF(ISNUMBER($B35),ABS($B35-'02_Constants'!$D$9)/'02_Constants'!$D$9,"")</x:f>
        <x:v>0.08034836893701762</x:v>
      </x:c>
      <x:c r="G35" s="369" t="n">
        <x:f>IF(ISNUMBER($B35),ABS($B35-'02_Constants'!$D$10)/'02_Constants'!$D$10,"")</x:f>
        <x:v>0.8712182648730804</x:v>
      </x:c>
      <x:c r="H35" s="369" t="n">
        <x:f>IF(ISNUMBER($B35),ABS($B35-'02_Constants'!$D$11)/'02_Constants'!$D$11,"")</x:f>
        <x:v>0.18346234326143593</x:v>
      </x:c>
      <x:c r="I35" s="369" t="n">
        <x:f>IF(ISNUMBER($B35),ABS($B35-'02_Constants'!$D$12)/'02_Constants'!$D$12,"")</x:f>
        <x:v>0.4387654566868414</x:v>
      </x:c>
      <x:c r="J35" s="369" t="n">
        <x:f>IF(ISNUMBER($B35),ABS($B35-'02_Constants'!$D$13)/'02_Constants'!$D$13,"")</x:f>
        <x:v>0.39120864550008144</x:v>
      </x:c>
      <x:c r="K35" s="369" t="n">
        <x:f>IF(ISNUMBER($B35),ABS($B35-'02_Constants'!$D$14)/'02_Constants'!$D$14,"")</x:f>
        <x:v>3.2818069823254703</x:v>
      </x:c>
      <x:c r="L35" s="369" t="n">
        <x:f>IF(ISNUMBER($B35),ABS($B35-'02_Constants'!$D$15)/'02_Constants'!$D$15,"")</x:f>
        <x:v>0.6355047339817094</x:v>
      </x:c>
      <x:c r="M35" s="369" t="n">
        <x:f>IF(ISNUMBER($B35),ABS($B35-'02_Constants'!$D$16)/'02_Constants'!$D$16,"")</x:f>
        <x:v>0.02647980770856576</x:v>
      </x:c>
      <x:c r="N35" s="369" t="n">
        <x:f>IF(ISNUMBER($B35),ABS($B35-'02_Constants'!$D$17)/'02_Constants'!$D$17,"")</x:f>
        <x:v>0.5400862678719967</x:v>
      </x:c>
      <x:c r="O35" s="369" t="n">
        <x:f>IF(ISNUMBER($B35),ABS($B35-'02_Constants'!$D$18)/'02_Constants'!$D$18,"")</x:f>
        <x:v>0.9976344654131143</x:v>
      </x:c>
      <x:c r="P35" s="369" t="n">
        <x:f>IF(ISNUMBER($B35),ABS($B35-'02_Constants'!$D$19)/'02_Constants'!$D$19,"")</x:f>
        <x:v>0.09613428140240018</x:v>
      </x:c>
      <x:c r="Q35" s="369" t="n">
        <x:f>IF(ISNUMBER($B35),ABS($B35-'02_Constants'!$D$20)/'02_Constants'!$D$20,"")</x:f>
        <x:v>1.889084770395601</x:v>
      </x:c>
      <x:c r="R35" s="369" t="n">
        <x:f>IF(ISNUMBER($B35),ABS($B35-'02_Constants'!$D$21)/'02_Constants'!$D$21,"")</x:f>
        <x:v>1.2014783504740776</x:v>
      </x:c>
      <x:c r="S35" s="369" t="n">
        <x:f>IF(ISNUMBER($B35),ABS($B35-'02_Constants'!$D$22)/'02_Constants'!$D$22,"")</x:f>
        <x:v>0.01457845930815901</x:v>
      </x:c>
      <x:c r="T35" s="369" t="n">
        <x:f>IF(ISNUMBER($B35),ABS($B35-'02_Constants'!$D$23)/'02_Constants'!$D$23,"")</x:f>
        <x:v>0.4332430959535826</x:v>
      </x:c>
      <x:c r="U35" s="369" t="n">
        <x:f>IF(ISNUMBER($B35),ABS($B35-'02_Constants'!$D$24)/'02_Constants'!$D$24,"")</x:f>
        <x:v>3.6660205508764827</x:v>
      </x:c>
      <x:c r="V35" s="369" t="n">
        <x:f>IF(ISNUMBER($B35),ABS($B35-'02_Constants'!$D$25)/'02_Constants'!$D$25,"")</x:f>
        <x:v>1.0300309856616097</x:v>
      </x:c>
      <x:c r="W35" s="369" t="n">
        <x:f>IF(ISNUMBER($B35),ABS($B35-'02_Constants'!$D$26)/'02_Constants'!$D$26,"")</x:f>
        <x:v>0.00020823471838275016</x:v>
      </x:c>
      <x:c r="X35" s="369" t="n">
        <x:f>IF(ISNUMBER($B35),ABS($B35-'02_Constants'!$D$27)/'02_Constants'!$D$27,"")</x:f>
        <x:v>2.817807130378858</x:v>
      </x:c>
      <x:c r="Y35" s="369" t="n">
        <x:f>IF(ISNUMBER($B35),ABS($B35-'02_Constants'!$D$28)/'02_Constants'!$D$28,"")</x:f>
        <x:v>0.4930161634345578</x:v>
      </x:c>
      <x:c r="Z35" s="369" t="n">
        <x:f>IF(ISNUMBER($B35),ABS($B35-'02_Constants'!$D$29)/'02_Constants'!$D$29,"")</x:f>
        <x:v>1.3452243053684123</x:v>
      </x:c>
      <x:c r="AA35" s="369" t="n">
        <x:f>IF(ISNUMBER($B35),ABS($B35-'02_Constants'!$D$30)/'02_Constants'!$D$30,"")</x:f>
        <x:v>2.058403884224093</x:v>
      </x:c>
      <x:c r="AB35" s="369" t="n">
        <x:f>IF(ISNUMBER($B35),ABS($B35-'02_Constants'!$D$31)/'02_Constants'!$D$31,"")</x:f>
        <x:v>1.289728843764486</x:v>
      </x:c>
      <x:c r="AC35" s="369" t="n">
        <x:f>IF(ISNUMBER($B35),ABS($B35-'02_Constants'!$D$32)/'02_Constants'!$D$32,"")</x:f>
        <x:v>1.0803941584980146</x:v>
      </x:c>
      <x:c r="AD35" s="369" t="n">
        <x:f>IF(ISNUMBER($B35),ABS($B35-'02_Constants'!$D$33)/'02_Constants'!$D$33,"")</x:f>
        <x:v>0.010797514362051567</x:v>
      </x:c>
    </x:row>
    <x:row r="36">
      <x:c r="A36" s="135" t="str">
        <x:f>'06_Laboratory'!B50</x:f>
        <x:v>Custom relation 1</x:v>
      </x:c>
      <x:c r="B36" s="365" t="str">
        <x:f>IF('06_Laboratory'!F50="","",'06_Laboratory'!F50)</x:f>
      </x:c>
      <x:c r="C36" s="369" t="str">
        <x:f>IF(ISNUMBER($B36),ABS($B36-'02_Constants'!$D$6)/'02_Constants'!$D$6,"")</x:f>
      </x:c>
      <x:c r="D36" s="369" t="str">
        <x:f>IF(ISNUMBER($B36),ABS($B36-'02_Constants'!$D$7)/'02_Constants'!$D$7,"")</x:f>
      </x:c>
      <x:c r="E36" s="369" t="str">
        <x:f>IF(ISNUMBER($B36),ABS($B36-'02_Constants'!$D$8)/'02_Constants'!$D$8,"")</x:f>
      </x:c>
      <x:c r="F36" s="369" t="str">
        <x:f>IF(ISNUMBER($B36),ABS($B36-'02_Constants'!$D$9)/'02_Constants'!$D$9,"")</x:f>
      </x:c>
      <x:c r="G36" s="369" t="str">
        <x:f>IF(ISNUMBER($B36),ABS($B36-'02_Constants'!$D$10)/'02_Constants'!$D$10,"")</x:f>
      </x:c>
      <x:c r="H36" s="369" t="str">
        <x:f>IF(ISNUMBER($B36),ABS($B36-'02_Constants'!$D$11)/'02_Constants'!$D$11,"")</x:f>
      </x:c>
      <x:c r="I36" s="369" t="str">
        <x:f>IF(ISNUMBER($B36),ABS($B36-'02_Constants'!$D$12)/'02_Constants'!$D$12,"")</x:f>
      </x:c>
      <x:c r="J36" s="369" t="str">
        <x:f>IF(ISNUMBER($B36),ABS($B36-'02_Constants'!$D$13)/'02_Constants'!$D$13,"")</x:f>
      </x:c>
      <x:c r="K36" s="369" t="str">
        <x:f>IF(ISNUMBER($B36),ABS($B36-'02_Constants'!$D$14)/'02_Constants'!$D$14,"")</x:f>
      </x:c>
      <x:c r="L36" s="369" t="str">
        <x:f>IF(ISNUMBER($B36),ABS($B36-'02_Constants'!$D$15)/'02_Constants'!$D$15,"")</x:f>
      </x:c>
      <x:c r="M36" s="369" t="str">
        <x:f>IF(ISNUMBER($B36),ABS($B36-'02_Constants'!$D$16)/'02_Constants'!$D$16,"")</x:f>
      </x:c>
      <x:c r="N36" s="369" t="str">
        <x:f>IF(ISNUMBER($B36),ABS($B36-'02_Constants'!$D$17)/'02_Constants'!$D$17,"")</x:f>
      </x:c>
      <x:c r="O36" s="369" t="str">
        <x:f>IF(ISNUMBER($B36),ABS($B36-'02_Constants'!$D$18)/'02_Constants'!$D$18,"")</x:f>
      </x:c>
      <x:c r="P36" s="369" t="str">
        <x:f>IF(ISNUMBER($B36),ABS($B36-'02_Constants'!$D$19)/'02_Constants'!$D$19,"")</x:f>
      </x:c>
      <x:c r="Q36" s="369" t="str">
        <x:f>IF(ISNUMBER($B36),ABS($B36-'02_Constants'!$D$20)/'02_Constants'!$D$20,"")</x:f>
      </x:c>
      <x:c r="R36" s="369" t="str">
        <x:f>IF(ISNUMBER($B36),ABS($B36-'02_Constants'!$D$21)/'02_Constants'!$D$21,"")</x:f>
      </x:c>
      <x:c r="S36" s="369" t="str">
        <x:f>IF(ISNUMBER($B36),ABS($B36-'02_Constants'!$D$22)/'02_Constants'!$D$22,"")</x:f>
      </x:c>
      <x:c r="T36" s="369" t="str">
        <x:f>IF(ISNUMBER($B36),ABS($B36-'02_Constants'!$D$23)/'02_Constants'!$D$23,"")</x:f>
      </x:c>
      <x:c r="U36" s="369" t="str">
        <x:f>IF(ISNUMBER($B36),ABS($B36-'02_Constants'!$D$24)/'02_Constants'!$D$24,"")</x:f>
      </x:c>
      <x:c r="V36" s="369" t="str">
        <x:f>IF(ISNUMBER($B36),ABS($B36-'02_Constants'!$D$25)/'02_Constants'!$D$25,"")</x:f>
      </x:c>
      <x:c r="W36" s="369" t="str">
        <x:f>IF(ISNUMBER($B36),ABS($B36-'02_Constants'!$D$26)/'02_Constants'!$D$26,"")</x:f>
      </x:c>
      <x:c r="X36" s="369" t="str">
        <x:f>IF(ISNUMBER($B36),ABS($B36-'02_Constants'!$D$27)/'02_Constants'!$D$27,"")</x:f>
      </x:c>
      <x:c r="Y36" s="369" t="str">
        <x:f>IF(ISNUMBER($B36),ABS($B36-'02_Constants'!$D$28)/'02_Constants'!$D$28,"")</x:f>
      </x:c>
      <x:c r="Z36" s="369" t="str">
        <x:f>IF(ISNUMBER($B36),ABS($B36-'02_Constants'!$D$29)/'02_Constants'!$D$29,"")</x:f>
      </x:c>
      <x:c r="AA36" s="369" t="str">
        <x:f>IF(ISNUMBER($B36),ABS($B36-'02_Constants'!$D$30)/'02_Constants'!$D$30,"")</x:f>
      </x:c>
      <x:c r="AB36" s="369" t="str">
        <x:f>IF(ISNUMBER($B36),ABS($B36-'02_Constants'!$D$31)/'02_Constants'!$D$31,"")</x:f>
      </x:c>
      <x:c r="AC36" s="369" t="str">
        <x:f>IF(ISNUMBER($B36),ABS($B36-'02_Constants'!$D$32)/'02_Constants'!$D$32,"")</x:f>
      </x:c>
      <x:c r="AD36" s="369" t="str">
        <x:f>IF(ISNUMBER($B36),ABS($B36-'02_Constants'!$D$33)/'02_Constants'!$D$33,"")</x:f>
      </x:c>
    </x:row>
    <x:row r="37">
      <x:c r="A37" s="135" t="str">
        <x:f>'06_Laboratory'!B51</x:f>
        <x:v>Custom relation 2</x:v>
      </x:c>
      <x:c r="B37" s="365" t="str">
        <x:f>IF('06_Laboratory'!F51="","",'06_Laboratory'!F51)</x:f>
      </x:c>
      <x:c r="C37" s="369" t="str">
        <x:f>IF(ISNUMBER($B37),ABS($B37-'02_Constants'!$D$6)/'02_Constants'!$D$6,"")</x:f>
      </x:c>
      <x:c r="D37" s="369" t="str">
        <x:f>IF(ISNUMBER($B37),ABS($B37-'02_Constants'!$D$7)/'02_Constants'!$D$7,"")</x:f>
      </x:c>
      <x:c r="E37" s="369" t="str">
        <x:f>IF(ISNUMBER($B37),ABS($B37-'02_Constants'!$D$8)/'02_Constants'!$D$8,"")</x:f>
      </x:c>
      <x:c r="F37" s="369" t="str">
        <x:f>IF(ISNUMBER($B37),ABS($B37-'02_Constants'!$D$9)/'02_Constants'!$D$9,"")</x:f>
      </x:c>
      <x:c r="G37" s="369" t="str">
        <x:f>IF(ISNUMBER($B37),ABS($B37-'02_Constants'!$D$10)/'02_Constants'!$D$10,"")</x:f>
      </x:c>
      <x:c r="H37" s="369" t="str">
        <x:f>IF(ISNUMBER($B37),ABS($B37-'02_Constants'!$D$11)/'02_Constants'!$D$11,"")</x:f>
      </x:c>
      <x:c r="I37" s="369" t="str">
        <x:f>IF(ISNUMBER($B37),ABS($B37-'02_Constants'!$D$12)/'02_Constants'!$D$12,"")</x:f>
      </x:c>
      <x:c r="J37" s="369" t="str">
        <x:f>IF(ISNUMBER($B37),ABS($B37-'02_Constants'!$D$13)/'02_Constants'!$D$13,"")</x:f>
      </x:c>
      <x:c r="K37" s="369" t="str">
        <x:f>IF(ISNUMBER($B37),ABS($B37-'02_Constants'!$D$14)/'02_Constants'!$D$14,"")</x:f>
      </x:c>
      <x:c r="L37" s="369" t="str">
        <x:f>IF(ISNUMBER($B37),ABS($B37-'02_Constants'!$D$15)/'02_Constants'!$D$15,"")</x:f>
      </x:c>
      <x:c r="M37" s="369" t="str">
        <x:f>IF(ISNUMBER($B37),ABS($B37-'02_Constants'!$D$16)/'02_Constants'!$D$16,"")</x:f>
      </x:c>
      <x:c r="N37" s="369" t="str">
        <x:f>IF(ISNUMBER($B37),ABS($B37-'02_Constants'!$D$17)/'02_Constants'!$D$17,"")</x:f>
      </x:c>
      <x:c r="O37" s="369" t="str">
        <x:f>IF(ISNUMBER($B37),ABS($B37-'02_Constants'!$D$18)/'02_Constants'!$D$18,"")</x:f>
      </x:c>
      <x:c r="P37" s="369" t="str">
        <x:f>IF(ISNUMBER($B37),ABS($B37-'02_Constants'!$D$19)/'02_Constants'!$D$19,"")</x:f>
      </x:c>
      <x:c r="Q37" s="369" t="str">
        <x:f>IF(ISNUMBER($B37),ABS($B37-'02_Constants'!$D$20)/'02_Constants'!$D$20,"")</x:f>
      </x:c>
      <x:c r="R37" s="369" t="str">
        <x:f>IF(ISNUMBER($B37),ABS($B37-'02_Constants'!$D$21)/'02_Constants'!$D$21,"")</x:f>
      </x:c>
      <x:c r="S37" s="369" t="str">
        <x:f>IF(ISNUMBER($B37),ABS($B37-'02_Constants'!$D$22)/'02_Constants'!$D$22,"")</x:f>
      </x:c>
      <x:c r="T37" s="369" t="str">
        <x:f>IF(ISNUMBER($B37),ABS($B37-'02_Constants'!$D$23)/'02_Constants'!$D$23,"")</x:f>
      </x:c>
      <x:c r="U37" s="369" t="str">
        <x:f>IF(ISNUMBER($B37),ABS($B37-'02_Constants'!$D$24)/'02_Constants'!$D$24,"")</x:f>
      </x:c>
      <x:c r="V37" s="369" t="str">
        <x:f>IF(ISNUMBER($B37),ABS($B37-'02_Constants'!$D$25)/'02_Constants'!$D$25,"")</x:f>
      </x:c>
      <x:c r="W37" s="369" t="str">
        <x:f>IF(ISNUMBER($B37),ABS($B37-'02_Constants'!$D$26)/'02_Constants'!$D$26,"")</x:f>
      </x:c>
      <x:c r="X37" s="369" t="str">
        <x:f>IF(ISNUMBER($B37),ABS($B37-'02_Constants'!$D$27)/'02_Constants'!$D$27,"")</x:f>
      </x:c>
      <x:c r="Y37" s="369" t="str">
        <x:f>IF(ISNUMBER($B37),ABS($B37-'02_Constants'!$D$28)/'02_Constants'!$D$28,"")</x:f>
      </x:c>
      <x:c r="Z37" s="369" t="str">
        <x:f>IF(ISNUMBER($B37),ABS($B37-'02_Constants'!$D$29)/'02_Constants'!$D$29,"")</x:f>
      </x:c>
      <x:c r="AA37" s="369" t="str">
        <x:f>IF(ISNUMBER($B37),ABS($B37-'02_Constants'!$D$30)/'02_Constants'!$D$30,"")</x:f>
      </x:c>
      <x:c r="AB37" s="369" t="str">
        <x:f>IF(ISNUMBER($B37),ABS($B37-'02_Constants'!$D$31)/'02_Constants'!$D$31,"")</x:f>
      </x:c>
      <x:c r="AC37" s="369" t="str">
        <x:f>IF(ISNUMBER($B37),ABS($B37-'02_Constants'!$D$32)/'02_Constants'!$D$32,"")</x:f>
      </x:c>
      <x:c r="AD37" s="369" t="str">
        <x:f>IF(ISNUMBER($B37),ABS($B37-'02_Constants'!$D$33)/'02_Constants'!$D$33,"")</x:f>
      </x:c>
    </x:row>
    <x:row r="38">
      <x:c r="A38" s="135" t="str">
        <x:f>'06_Laboratory'!B52</x:f>
        <x:v>Custom relation 3</x:v>
      </x:c>
      <x:c r="B38" s="365" t="str">
        <x:f>IF('06_Laboratory'!F52="","",'06_Laboratory'!F52)</x:f>
      </x:c>
      <x:c r="C38" s="369" t="str">
        <x:f>IF(ISNUMBER($B38),ABS($B38-'02_Constants'!$D$6)/'02_Constants'!$D$6,"")</x:f>
      </x:c>
      <x:c r="D38" s="369" t="str">
        <x:f>IF(ISNUMBER($B38),ABS($B38-'02_Constants'!$D$7)/'02_Constants'!$D$7,"")</x:f>
      </x:c>
      <x:c r="E38" s="369" t="str">
        <x:f>IF(ISNUMBER($B38),ABS($B38-'02_Constants'!$D$8)/'02_Constants'!$D$8,"")</x:f>
      </x:c>
      <x:c r="F38" s="369" t="str">
        <x:f>IF(ISNUMBER($B38),ABS($B38-'02_Constants'!$D$9)/'02_Constants'!$D$9,"")</x:f>
      </x:c>
      <x:c r="G38" s="369" t="str">
        <x:f>IF(ISNUMBER($B38),ABS($B38-'02_Constants'!$D$10)/'02_Constants'!$D$10,"")</x:f>
      </x:c>
      <x:c r="H38" s="369" t="str">
        <x:f>IF(ISNUMBER($B38),ABS($B38-'02_Constants'!$D$11)/'02_Constants'!$D$11,"")</x:f>
      </x:c>
      <x:c r="I38" s="369" t="str">
        <x:f>IF(ISNUMBER($B38),ABS($B38-'02_Constants'!$D$12)/'02_Constants'!$D$12,"")</x:f>
      </x:c>
      <x:c r="J38" s="369" t="str">
        <x:f>IF(ISNUMBER($B38),ABS($B38-'02_Constants'!$D$13)/'02_Constants'!$D$13,"")</x:f>
      </x:c>
      <x:c r="K38" s="369" t="str">
        <x:f>IF(ISNUMBER($B38),ABS($B38-'02_Constants'!$D$14)/'02_Constants'!$D$14,"")</x:f>
      </x:c>
      <x:c r="L38" s="369" t="str">
        <x:f>IF(ISNUMBER($B38),ABS($B38-'02_Constants'!$D$15)/'02_Constants'!$D$15,"")</x:f>
      </x:c>
      <x:c r="M38" s="369" t="str">
        <x:f>IF(ISNUMBER($B38),ABS($B38-'02_Constants'!$D$16)/'02_Constants'!$D$16,"")</x:f>
      </x:c>
      <x:c r="N38" s="369" t="str">
        <x:f>IF(ISNUMBER($B38),ABS($B38-'02_Constants'!$D$17)/'02_Constants'!$D$17,"")</x:f>
      </x:c>
      <x:c r="O38" s="369" t="str">
        <x:f>IF(ISNUMBER($B38),ABS($B38-'02_Constants'!$D$18)/'02_Constants'!$D$18,"")</x:f>
      </x:c>
      <x:c r="P38" s="369" t="str">
        <x:f>IF(ISNUMBER($B38),ABS($B38-'02_Constants'!$D$19)/'02_Constants'!$D$19,"")</x:f>
      </x:c>
      <x:c r="Q38" s="369" t="str">
        <x:f>IF(ISNUMBER($B38),ABS($B38-'02_Constants'!$D$20)/'02_Constants'!$D$20,"")</x:f>
      </x:c>
      <x:c r="R38" s="369" t="str">
        <x:f>IF(ISNUMBER($B38),ABS($B38-'02_Constants'!$D$21)/'02_Constants'!$D$21,"")</x:f>
      </x:c>
      <x:c r="S38" s="369" t="str">
        <x:f>IF(ISNUMBER($B38),ABS($B38-'02_Constants'!$D$22)/'02_Constants'!$D$22,"")</x:f>
      </x:c>
      <x:c r="T38" s="369" t="str">
        <x:f>IF(ISNUMBER($B38),ABS($B38-'02_Constants'!$D$23)/'02_Constants'!$D$23,"")</x:f>
      </x:c>
      <x:c r="U38" s="369" t="str">
        <x:f>IF(ISNUMBER($B38),ABS($B38-'02_Constants'!$D$24)/'02_Constants'!$D$24,"")</x:f>
      </x:c>
      <x:c r="V38" s="369" t="str">
        <x:f>IF(ISNUMBER($B38),ABS($B38-'02_Constants'!$D$25)/'02_Constants'!$D$25,"")</x:f>
      </x:c>
      <x:c r="W38" s="369" t="str">
        <x:f>IF(ISNUMBER($B38),ABS($B38-'02_Constants'!$D$26)/'02_Constants'!$D$26,"")</x:f>
      </x:c>
      <x:c r="X38" s="369" t="str">
        <x:f>IF(ISNUMBER($B38),ABS($B38-'02_Constants'!$D$27)/'02_Constants'!$D$27,"")</x:f>
      </x:c>
      <x:c r="Y38" s="369" t="str">
        <x:f>IF(ISNUMBER($B38),ABS($B38-'02_Constants'!$D$28)/'02_Constants'!$D$28,"")</x:f>
      </x:c>
      <x:c r="Z38" s="369" t="str">
        <x:f>IF(ISNUMBER($B38),ABS($B38-'02_Constants'!$D$29)/'02_Constants'!$D$29,"")</x:f>
      </x:c>
      <x:c r="AA38" s="369" t="str">
        <x:f>IF(ISNUMBER($B38),ABS($B38-'02_Constants'!$D$30)/'02_Constants'!$D$30,"")</x:f>
      </x:c>
      <x:c r="AB38" s="369" t="str">
        <x:f>IF(ISNUMBER($B38),ABS($B38-'02_Constants'!$D$31)/'02_Constants'!$D$31,"")</x:f>
      </x:c>
      <x:c r="AC38" s="369" t="str">
        <x:f>IF(ISNUMBER($B38),ABS($B38-'02_Constants'!$D$32)/'02_Constants'!$D$32,"")</x:f>
      </x:c>
      <x:c r="AD38" s="369" t="str">
        <x:f>IF(ISNUMBER($B38),ABS($B38-'02_Constants'!$D$33)/'02_Constants'!$D$33,"")</x:f>
      </x:c>
    </x:row>
    <x:row r="39">
      <x:c r="A39" s="135" t="str">
        <x:f>'06_Laboratory'!B53</x:f>
        <x:v>Custom relation 4</x:v>
      </x:c>
      <x:c r="B39" s="365" t="str">
        <x:f>IF('06_Laboratory'!F53="","",'06_Laboratory'!F53)</x:f>
      </x:c>
      <x:c r="C39" s="369" t="str">
        <x:f>IF(ISNUMBER($B39),ABS($B39-'02_Constants'!$D$6)/'02_Constants'!$D$6,"")</x:f>
      </x:c>
      <x:c r="D39" s="369" t="str">
        <x:f>IF(ISNUMBER($B39),ABS($B39-'02_Constants'!$D$7)/'02_Constants'!$D$7,"")</x:f>
      </x:c>
      <x:c r="E39" s="369" t="str">
        <x:f>IF(ISNUMBER($B39),ABS($B39-'02_Constants'!$D$8)/'02_Constants'!$D$8,"")</x:f>
      </x:c>
      <x:c r="F39" s="369" t="str">
        <x:f>IF(ISNUMBER($B39),ABS($B39-'02_Constants'!$D$9)/'02_Constants'!$D$9,"")</x:f>
      </x:c>
      <x:c r="G39" s="369" t="str">
        <x:f>IF(ISNUMBER($B39),ABS($B39-'02_Constants'!$D$10)/'02_Constants'!$D$10,"")</x:f>
      </x:c>
      <x:c r="H39" s="369" t="str">
        <x:f>IF(ISNUMBER($B39),ABS($B39-'02_Constants'!$D$11)/'02_Constants'!$D$11,"")</x:f>
      </x:c>
      <x:c r="I39" s="369" t="str">
        <x:f>IF(ISNUMBER($B39),ABS($B39-'02_Constants'!$D$12)/'02_Constants'!$D$12,"")</x:f>
      </x:c>
      <x:c r="J39" s="369" t="str">
        <x:f>IF(ISNUMBER($B39),ABS($B39-'02_Constants'!$D$13)/'02_Constants'!$D$13,"")</x:f>
      </x:c>
      <x:c r="K39" s="369" t="str">
        <x:f>IF(ISNUMBER($B39),ABS($B39-'02_Constants'!$D$14)/'02_Constants'!$D$14,"")</x:f>
      </x:c>
      <x:c r="L39" s="369" t="str">
        <x:f>IF(ISNUMBER($B39),ABS($B39-'02_Constants'!$D$15)/'02_Constants'!$D$15,"")</x:f>
      </x:c>
      <x:c r="M39" s="369" t="str">
        <x:f>IF(ISNUMBER($B39),ABS($B39-'02_Constants'!$D$16)/'02_Constants'!$D$16,"")</x:f>
      </x:c>
      <x:c r="N39" s="369" t="str">
        <x:f>IF(ISNUMBER($B39),ABS($B39-'02_Constants'!$D$17)/'02_Constants'!$D$17,"")</x:f>
      </x:c>
      <x:c r="O39" s="369" t="str">
        <x:f>IF(ISNUMBER($B39),ABS($B39-'02_Constants'!$D$18)/'02_Constants'!$D$18,"")</x:f>
      </x:c>
      <x:c r="P39" s="369" t="str">
        <x:f>IF(ISNUMBER($B39),ABS($B39-'02_Constants'!$D$19)/'02_Constants'!$D$19,"")</x:f>
      </x:c>
      <x:c r="Q39" s="369" t="str">
        <x:f>IF(ISNUMBER($B39),ABS($B39-'02_Constants'!$D$20)/'02_Constants'!$D$20,"")</x:f>
      </x:c>
      <x:c r="R39" s="369" t="str">
        <x:f>IF(ISNUMBER($B39),ABS($B39-'02_Constants'!$D$21)/'02_Constants'!$D$21,"")</x:f>
      </x:c>
      <x:c r="S39" s="369" t="str">
        <x:f>IF(ISNUMBER($B39),ABS($B39-'02_Constants'!$D$22)/'02_Constants'!$D$22,"")</x:f>
      </x:c>
      <x:c r="T39" s="369" t="str">
        <x:f>IF(ISNUMBER($B39),ABS($B39-'02_Constants'!$D$23)/'02_Constants'!$D$23,"")</x:f>
      </x:c>
      <x:c r="U39" s="369" t="str">
        <x:f>IF(ISNUMBER($B39),ABS($B39-'02_Constants'!$D$24)/'02_Constants'!$D$24,"")</x:f>
      </x:c>
      <x:c r="V39" s="369" t="str">
        <x:f>IF(ISNUMBER($B39),ABS($B39-'02_Constants'!$D$25)/'02_Constants'!$D$25,"")</x:f>
      </x:c>
      <x:c r="W39" s="369" t="str">
        <x:f>IF(ISNUMBER($B39),ABS($B39-'02_Constants'!$D$26)/'02_Constants'!$D$26,"")</x:f>
      </x:c>
      <x:c r="X39" s="369" t="str">
        <x:f>IF(ISNUMBER($B39),ABS($B39-'02_Constants'!$D$27)/'02_Constants'!$D$27,"")</x:f>
      </x:c>
      <x:c r="Y39" s="369" t="str">
        <x:f>IF(ISNUMBER($B39),ABS($B39-'02_Constants'!$D$28)/'02_Constants'!$D$28,"")</x:f>
      </x:c>
      <x:c r="Z39" s="369" t="str">
        <x:f>IF(ISNUMBER($B39),ABS($B39-'02_Constants'!$D$29)/'02_Constants'!$D$29,"")</x:f>
      </x:c>
      <x:c r="AA39" s="369" t="str">
        <x:f>IF(ISNUMBER($B39),ABS($B39-'02_Constants'!$D$30)/'02_Constants'!$D$30,"")</x:f>
      </x:c>
      <x:c r="AB39" s="369" t="str">
        <x:f>IF(ISNUMBER($B39),ABS($B39-'02_Constants'!$D$31)/'02_Constants'!$D$31,"")</x:f>
      </x:c>
      <x:c r="AC39" s="369" t="str">
        <x:f>IF(ISNUMBER($B39),ABS($B39-'02_Constants'!$D$32)/'02_Constants'!$D$32,"")</x:f>
      </x:c>
      <x:c r="AD39" s="369" t="str">
        <x:f>IF(ISNUMBER($B39),ABS($B39-'02_Constants'!$D$33)/'02_Constants'!$D$33,"")</x:f>
      </x:c>
    </x:row>
    <x:row r="40">
      <x:c r="A40" s="135" t="str">
        <x:f>'06_Laboratory'!B54</x:f>
        <x:v>Custom relation 5</x:v>
      </x:c>
      <x:c r="B40" s="365" t="str">
        <x:f>IF('06_Laboratory'!F54="","",'06_Laboratory'!F54)</x:f>
      </x:c>
      <x:c r="C40" s="369" t="str">
        <x:f>IF(ISNUMBER($B40),ABS($B40-'02_Constants'!$D$6)/'02_Constants'!$D$6,"")</x:f>
      </x:c>
      <x:c r="D40" s="369" t="str">
        <x:f>IF(ISNUMBER($B40),ABS($B40-'02_Constants'!$D$7)/'02_Constants'!$D$7,"")</x:f>
      </x:c>
      <x:c r="E40" s="369" t="str">
        <x:f>IF(ISNUMBER($B40),ABS($B40-'02_Constants'!$D$8)/'02_Constants'!$D$8,"")</x:f>
      </x:c>
      <x:c r="F40" s="369" t="str">
        <x:f>IF(ISNUMBER($B40),ABS($B40-'02_Constants'!$D$9)/'02_Constants'!$D$9,"")</x:f>
      </x:c>
      <x:c r="G40" s="369" t="str">
        <x:f>IF(ISNUMBER($B40),ABS($B40-'02_Constants'!$D$10)/'02_Constants'!$D$10,"")</x:f>
      </x:c>
      <x:c r="H40" s="369" t="str">
        <x:f>IF(ISNUMBER($B40),ABS($B40-'02_Constants'!$D$11)/'02_Constants'!$D$11,"")</x:f>
      </x:c>
      <x:c r="I40" s="369" t="str">
        <x:f>IF(ISNUMBER($B40),ABS($B40-'02_Constants'!$D$12)/'02_Constants'!$D$12,"")</x:f>
      </x:c>
      <x:c r="J40" s="369" t="str">
        <x:f>IF(ISNUMBER($B40),ABS($B40-'02_Constants'!$D$13)/'02_Constants'!$D$13,"")</x:f>
      </x:c>
      <x:c r="K40" s="369" t="str">
        <x:f>IF(ISNUMBER($B40),ABS($B40-'02_Constants'!$D$14)/'02_Constants'!$D$14,"")</x:f>
      </x:c>
      <x:c r="L40" s="369" t="str">
        <x:f>IF(ISNUMBER($B40),ABS($B40-'02_Constants'!$D$15)/'02_Constants'!$D$15,"")</x:f>
      </x:c>
      <x:c r="M40" s="369" t="str">
        <x:f>IF(ISNUMBER($B40),ABS($B40-'02_Constants'!$D$16)/'02_Constants'!$D$16,"")</x:f>
      </x:c>
      <x:c r="N40" s="369" t="str">
        <x:f>IF(ISNUMBER($B40),ABS($B40-'02_Constants'!$D$17)/'02_Constants'!$D$17,"")</x:f>
      </x:c>
      <x:c r="O40" s="369" t="str">
        <x:f>IF(ISNUMBER($B40),ABS($B40-'02_Constants'!$D$18)/'02_Constants'!$D$18,"")</x:f>
      </x:c>
      <x:c r="P40" s="369" t="str">
        <x:f>IF(ISNUMBER($B40),ABS($B40-'02_Constants'!$D$19)/'02_Constants'!$D$19,"")</x:f>
      </x:c>
      <x:c r="Q40" s="369" t="str">
        <x:f>IF(ISNUMBER($B40),ABS($B40-'02_Constants'!$D$20)/'02_Constants'!$D$20,"")</x:f>
      </x:c>
      <x:c r="R40" s="369" t="str">
        <x:f>IF(ISNUMBER($B40),ABS($B40-'02_Constants'!$D$21)/'02_Constants'!$D$21,"")</x:f>
      </x:c>
      <x:c r="S40" s="369" t="str">
        <x:f>IF(ISNUMBER($B40),ABS($B40-'02_Constants'!$D$22)/'02_Constants'!$D$22,"")</x:f>
      </x:c>
      <x:c r="T40" s="369" t="str">
        <x:f>IF(ISNUMBER($B40),ABS($B40-'02_Constants'!$D$23)/'02_Constants'!$D$23,"")</x:f>
      </x:c>
      <x:c r="U40" s="369" t="str">
        <x:f>IF(ISNUMBER($B40),ABS($B40-'02_Constants'!$D$24)/'02_Constants'!$D$24,"")</x:f>
      </x:c>
      <x:c r="V40" s="369" t="str">
        <x:f>IF(ISNUMBER($B40),ABS($B40-'02_Constants'!$D$25)/'02_Constants'!$D$25,"")</x:f>
      </x:c>
      <x:c r="W40" s="369" t="str">
        <x:f>IF(ISNUMBER($B40),ABS($B40-'02_Constants'!$D$26)/'02_Constants'!$D$26,"")</x:f>
      </x:c>
      <x:c r="X40" s="369" t="str">
        <x:f>IF(ISNUMBER($B40),ABS($B40-'02_Constants'!$D$27)/'02_Constants'!$D$27,"")</x:f>
      </x:c>
      <x:c r="Y40" s="369" t="str">
        <x:f>IF(ISNUMBER($B40),ABS($B40-'02_Constants'!$D$28)/'02_Constants'!$D$28,"")</x:f>
      </x:c>
      <x:c r="Z40" s="369" t="str">
        <x:f>IF(ISNUMBER($B40),ABS($B40-'02_Constants'!$D$29)/'02_Constants'!$D$29,"")</x:f>
      </x:c>
      <x:c r="AA40" s="369" t="str">
        <x:f>IF(ISNUMBER($B40),ABS($B40-'02_Constants'!$D$30)/'02_Constants'!$D$30,"")</x:f>
      </x:c>
      <x:c r="AB40" s="369" t="str">
        <x:f>IF(ISNUMBER($B40),ABS($B40-'02_Constants'!$D$31)/'02_Constants'!$D$31,"")</x:f>
      </x:c>
      <x:c r="AC40" s="369" t="str">
        <x:f>IF(ISNUMBER($B40),ABS($B40-'02_Constants'!$D$32)/'02_Constants'!$D$32,"")</x:f>
      </x:c>
      <x:c r="AD40" s="369" t="str">
        <x:f>IF(ISNUMBER($B40),ABS($B40-'02_Constants'!$D$33)/'02_Constants'!$D$33,"")</x:f>
      </x:c>
    </x:row>
    <x:row r="41">
      <x:c r="A41" s="135" t="str">
        <x:f>'06_Laboratory'!B55</x:f>
        <x:v>Custom relation 6</x:v>
      </x:c>
      <x:c r="B41" s="365" t="str">
        <x:f>IF('06_Laboratory'!F55="","",'06_Laboratory'!F55)</x:f>
      </x:c>
      <x:c r="C41" s="369" t="str">
        <x:f>IF(ISNUMBER($B41),ABS($B41-'02_Constants'!$D$6)/'02_Constants'!$D$6,"")</x:f>
      </x:c>
      <x:c r="D41" s="369" t="str">
        <x:f>IF(ISNUMBER($B41),ABS($B41-'02_Constants'!$D$7)/'02_Constants'!$D$7,"")</x:f>
      </x:c>
      <x:c r="E41" s="369" t="str">
        <x:f>IF(ISNUMBER($B41),ABS($B41-'02_Constants'!$D$8)/'02_Constants'!$D$8,"")</x:f>
      </x:c>
      <x:c r="F41" s="369" t="str">
        <x:f>IF(ISNUMBER($B41),ABS($B41-'02_Constants'!$D$9)/'02_Constants'!$D$9,"")</x:f>
      </x:c>
      <x:c r="G41" s="369" t="str">
        <x:f>IF(ISNUMBER($B41),ABS($B41-'02_Constants'!$D$10)/'02_Constants'!$D$10,"")</x:f>
      </x:c>
      <x:c r="H41" s="369" t="str">
        <x:f>IF(ISNUMBER($B41),ABS($B41-'02_Constants'!$D$11)/'02_Constants'!$D$11,"")</x:f>
      </x:c>
      <x:c r="I41" s="369" t="str">
        <x:f>IF(ISNUMBER($B41),ABS($B41-'02_Constants'!$D$12)/'02_Constants'!$D$12,"")</x:f>
      </x:c>
      <x:c r="J41" s="369" t="str">
        <x:f>IF(ISNUMBER($B41),ABS($B41-'02_Constants'!$D$13)/'02_Constants'!$D$13,"")</x:f>
      </x:c>
      <x:c r="K41" s="369" t="str">
        <x:f>IF(ISNUMBER($B41),ABS($B41-'02_Constants'!$D$14)/'02_Constants'!$D$14,"")</x:f>
      </x:c>
      <x:c r="L41" s="369" t="str">
        <x:f>IF(ISNUMBER($B41),ABS($B41-'02_Constants'!$D$15)/'02_Constants'!$D$15,"")</x:f>
      </x:c>
      <x:c r="M41" s="369" t="str">
        <x:f>IF(ISNUMBER($B41),ABS($B41-'02_Constants'!$D$16)/'02_Constants'!$D$16,"")</x:f>
      </x:c>
      <x:c r="N41" s="369" t="str">
        <x:f>IF(ISNUMBER($B41),ABS($B41-'02_Constants'!$D$17)/'02_Constants'!$D$17,"")</x:f>
      </x:c>
      <x:c r="O41" s="369" t="str">
        <x:f>IF(ISNUMBER($B41),ABS($B41-'02_Constants'!$D$18)/'02_Constants'!$D$18,"")</x:f>
      </x:c>
      <x:c r="P41" s="369" t="str">
        <x:f>IF(ISNUMBER($B41),ABS($B41-'02_Constants'!$D$19)/'02_Constants'!$D$19,"")</x:f>
      </x:c>
      <x:c r="Q41" s="369" t="str">
        <x:f>IF(ISNUMBER($B41),ABS($B41-'02_Constants'!$D$20)/'02_Constants'!$D$20,"")</x:f>
      </x:c>
      <x:c r="R41" s="369" t="str">
        <x:f>IF(ISNUMBER($B41),ABS($B41-'02_Constants'!$D$21)/'02_Constants'!$D$21,"")</x:f>
      </x:c>
      <x:c r="S41" s="369" t="str">
        <x:f>IF(ISNUMBER($B41),ABS($B41-'02_Constants'!$D$22)/'02_Constants'!$D$22,"")</x:f>
      </x:c>
      <x:c r="T41" s="369" t="str">
        <x:f>IF(ISNUMBER($B41),ABS($B41-'02_Constants'!$D$23)/'02_Constants'!$D$23,"")</x:f>
      </x:c>
      <x:c r="U41" s="369" t="str">
        <x:f>IF(ISNUMBER($B41),ABS($B41-'02_Constants'!$D$24)/'02_Constants'!$D$24,"")</x:f>
      </x:c>
      <x:c r="V41" s="369" t="str">
        <x:f>IF(ISNUMBER($B41),ABS($B41-'02_Constants'!$D$25)/'02_Constants'!$D$25,"")</x:f>
      </x:c>
      <x:c r="W41" s="369" t="str">
        <x:f>IF(ISNUMBER($B41),ABS($B41-'02_Constants'!$D$26)/'02_Constants'!$D$26,"")</x:f>
      </x:c>
      <x:c r="X41" s="369" t="str">
        <x:f>IF(ISNUMBER($B41),ABS($B41-'02_Constants'!$D$27)/'02_Constants'!$D$27,"")</x:f>
      </x:c>
      <x:c r="Y41" s="369" t="str">
        <x:f>IF(ISNUMBER($B41),ABS($B41-'02_Constants'!$D$28)/'02_Constants'!$D$28,"")</x:f>
      </x:c>
      <x:c r="Z41" s="369" t="str">
        <x:f>IF(ISNUMBER($B41),ABS($B41-'02_Constants'!$D$29)/'02_Constants'!$D$29,"")</x:f>
      </x:c>
      <x:c r="AA41" s="369" t="str">
        <x:f>IF(ISNUMBER($B41),ABS($B41-'02_Constants'!$D$30)/'02_Constants'!$D$30,"")</x:f>
      </x:c>
      <x:c r="AB41" s="369" t="str">
        <x:f>IF(ISNUMBER($B41),ABS($B41-'02_Constants'!$D$31)/'02_Constants'!$D$31,"")</x:f>
      </x:c>
      <x:c r="AC41" s="369" t="str">
        <x:f>IF(ISNUMBER($B41),ABS($B41-'02_Constants'!$D$32)/'02_Constants'!$D$32,"")</x:f>
      </x:c>
      <x:c r="AD41" s="369" t="str">
        <x:f>IF(ISNUMBER($B41),ABS($B41-'02_Constants'!$D$33)/'02_Constants'!$D$33,"")</x:f>
      </x:c>
    </x:row>
    <x:row r="42">
      <x:c r="A42" s="135" t="str">
        <x:f>'06_Laboratory'!B56</x:f>
        <x:v>Custom relation 7</x:v>
      </x:c>
      <x:c r="B42" s="365" t="str">
        <x:f>IF('06_Laboratory'!F56="","",'06_Laboratory'!F56)</x:f>
      </x:c>
      <x:c r="C42" s="369" t="str">
        <x:f>IF(ISNUMBER($B42),ABS($B42-'02_Constants'!$D$6)/'02_Constants'!$D$6,"")</x:f>
      </x:c>
      <x:c r="D42" s="369" t="str">
        <x:f>IF(ISNUMBER($B42),ABS($B42-'02_Constants'!$D$7)/'02_Constants'!$D$7,"")</x:f>
      </x:c>
      <x:c r="E42" s="369" t="str">
        <x:f>IF(ISNUMBER($B42),ABS($B42-'02_Constants'!$D$8)/'02_Constants'!$D$8,"")</x:f>
      </x:c>
      <x:c r="F42" s="369" t="str">
        <x:f>IF(ISNUMBER($B42),ABS($B42-'02_Constants'!$D$9)/'02_Constants'!$D$9,"")</x:f>
      </x:c>
      <x:c r="G42" s="369" t="str">
        <x:f>IF(ISNUMBER($B42),ABS($B42-'02_Constants'!$D$10)/'02_Constants'!$D$10,"")</x:f>
      </x:c>
      <x:c r="H42" s="369" t="str">
        <x:f>IF(ISNUMBER($B42),ABS($B42-'02_Constants'!$D$11)/'02_Constants'!$D$11,"")</x:f>
      </x:c>
      <x:c r="I42" s="369" t="str">
        <x:f>IF(ISNUMBER($B42),ABS($B42-'02_Constants'!$D$12)/'02_Constants'!$D$12,"")</x:f>
      </x:c>
      <x:c r="J42" s="369" t="str">
        <x:f>IF(ISNUMBER($B42),ABS($B42-'02_Constants'!$D$13)/'02_Constants'!$D$13,"")</x:f>
      </x:c>
      <x:c r="K42" s="369" t="str">
        <x:f>IF(ISNUMBER($B42),ABS($B42-'02_Constants'!$D$14)/'02_Constants'!$D$14,"")</x:f>
      </x:c>
      <x:c r="L42" s="369" t="str">
        <x:f>IF(ISNUMBER($B42),ABS($B42-'02_Constants'!$D$15)/'02_Constants'!$D$15,"")</x:f>
      </x:c>
      <x:c r="M42" s="369" t="str">
        <x:f>IF(ISNUMBER($B42),ABS($B42-'02_Constants'!$D$16)/'02_Constants'!$D$16,"")</x:f>
      </x:c>
      <x:c r="N42" s="369" t="str">
        <x:f>IF(ISNUMBER($B42),ABS($B42-'02_Constants'!$D$17)/'02_Constants'!$D$17,"")</x:f>
      </x:c>
      <x:c r="O42" s="369" t="str">
        <x:f>IF(ISNUMBER($B42),ABS($B42-'02_Constants'!$D$18)/'02_Constants'!$D$18,"")</x:f>
      </x:c>
      <x:c r="P42" s="369" t="str">
        <x:f>IF(ISNUMBER($B42),ABS($B42-'02_Constants'!$D$19)/'02_Constants'!$D$19,"")</x:f>
      </x:c>
      <x:c r="Q42" s="369" t="str">
        <x:f>IF(ISNUMBER($B42),ABS($B42-'02_Constants'!$D$20)/'02_Constants'!$D$20,"")</x:f>
      </x:c>
      <x:c r="R42" s="369" t="str">
        <x:f>IF(ISNUMBER($B42),ABS($B42-'02_Constants'!$D$21)/'02_Constants'!$D$21,"")</x:f>
      </x:c>
      <x:c r="S42" s="369" t="str">
        <x:f>IF(ISNUMBER($B42),ABS($B42-'02_Constants'!$D$22)/'02_Constants'!$D$22,"")</x:f>
      </x:c>
      <x:c r="T42" s="369" t="str">
        <x:f>IF(ISNUMBER($B42),ABS($B42-'02_Constants'!$D$23)/'02_Constants'!$D$23,"")</x:f>
      </x:c>
      <x:c r="U42" s="369" t="str">
        <x:f>IF(ISNUMBER($B42),ABS($B42-'02_Constants'!$D$24)/'02_Constants'!$D$24,"")</x:f>
      </x:c>
      <x:c r="V42" s="369" t="str">
        <x:f>IF(ISNUMBER($B42),ABS($B42-'02_Constants'!$D$25)/'02_Constants'!$D$25,"")</x:f>
      </x:c>
      <x:c r="W42" s="369" t="str">
        <x:f>IF(ISNUMBER($B42),ABS($B42-'02_Constants'!$D$26)/'02_Constants'!$D$26,"")</x:f>
      </x:c>
      <x:c r="X42" s="369" t="str">
        <x:f>IF(ISNUMBER($B42),ABS($B42-'02_Constants'!$D$27)/'02_Constants'!$D$27,"")</x:f>
      </x:c>
      <x:c r="Y42" s="369" t="str">
        <x:f>IF(ISNUMBER($B42),ABS($B42-'02_Constants'!$D$28)/'02_Constants'!$D$28,"")</x:f>
      </x:c>
      <x:c r="Z42" s="369" t="str">
        <x:f>IF(ISNUMBER($B42),ABS($B42-'02_Constants'!$D$29)/'02_Constants'!$D$29,"")</x:f>
      </x:c>
      <x:c r="AA42" s="369" t="str">
        <x:f>IF(ISNUMBER($B42),ABS($B42-'02_Constants'!$D$30)/'02_Constants'!$D$30,"")</x:f>
      </x:c>
      <x:c r="AB42" s="369" t="str">
        <x:f>IF(ISNUMBER($B42),ABS($B42-'02_Constants'!$D$31)/'02_Constants'!$D$31,"")</x:f>
      </x:c>
      <x:c r="AC42" s="369" t="str">
        <x:f>IF(ISNUMBER($B42),ABS($B42-'02_Constants'!$D$32)/'02_Constants'!$D$32,"")</x:f>
      </x:c>
      <x:c r="AD42" s="369" t="str">
        <x:f>IF(ISNUMBER($B42),ABS($B42-'02_Constants'!$D$33)/'02_Constants'!$D$33,"")</x:f>
      </x:c>
    </x:row>
    <x:row r="43">
      <x:c r="A43" s="141" t="str">
        <x:f>'06_Laboratory'!B57</x:f>
        <x:v>Custom relation 8</x:v>
      </x:c>
      <x:c r="B43" s="374" t="str">
        <x:f>IF('06_Laboratory'!F57="","",'06_Laboratory'!F57)</x:f>
      </x:c>
      <x:c r="C43" s="376" t="str">
        <x:f>IF(ISNUMBER($B43),ABS($B43-'02_Constants'!$D$6)/'02_Constants'!$D$6,"")</x:f>
      </x:c>
      <x:c r="D43" s="376" t="str">
        <x:f>IF(ISNUMBER($B43),ABS($B43-'02_Constants'!$D$7)/'02_Constants'!$D$7,"")</x:f>
      </x:c>
      <x:c r="E43" s="376" t="str">
        <x:f>IF(ISNUMBER($B43),ABS($B43-'02_Constants'!$D$8)/'02_Constants'!$D$8,"")</x:f>
      </x:c>
      <x:c r="F43" s="376" t="str">
        <x:f>IF(ISNUMBER($B43),ABS($B43-'02_Constants'!$D$9)/'02_Constants'!$D$9,"")</x:f>
      </x:c>
      <x:c r="G43" s="376" t="str">
        <x:f>IF(ISNUMBER($B43),ABS($B43-'02_Constants'!$D$10)/'02_Constants'!$D$10,"")</x:f>
      </x:c>
      <x:c r="H43" s="376" t="str">
        <x:f>IF(ISNUMBER($B43),ABS($B43-'02_Constants'!$D$11)/'02_Constants'!$D$11,"")</x:f>
      </x:c>
      <x:c r="I43" s="376" t="str">
        <x:f>IF(ISNUMBER($B43),ABS($B43-'02_Constants'!$D$12)/'02_Constants'!$D$12,"")</x:f>
      </x:c>
      <x:c r="J43" s="376" t="str">
        <x:f>IF(ISNUMBER($B43),ABS($B43-'02_Constants'!$D$13)/'02_Constants'!$D$13,"")</x:f>
      </x:c>
      <x:c r="K43" s="376" t="str">
        <x:f>IF(ISNUMBER($B43),ABS($B43-'02_Constants'!$D$14)/'02_Constants'!$D$14,"")</x:f>
      </x:c>
      <x:c r="L43" s="376" t="str">
        <x:f>IF(ISNUMBER($B43),ABS($B43-'02_Constants'!$D$15)/'02_Constants'!$D$15,"")</x:f>
      </x:c>
      <x:c r="M43" s="376" t="str">
        <x:f>IF(ISNUMBER($B43),ABS($B43-'02_Constants'!$D$16)/'02_Constants'!$D$16,"")</x:f>
      </x:c>
      <x:c r="N43" s="376" t="str">
        <x:f>IF(ISNUMBER($B43),ABS($B43-'02_Constants'!$D$17)/'02_Constants'!$D$17,"")</x:f>
      </x:c>
      <x:c r="O43" s="376" t="str">
        <x:f>IF(ISNUMBER($B43),ABS($B43-'02_Constants'!$D$18)/'02_Constants'!$D$18,"")</x:f>
      </x:c>
      <x:c r="P43" s="376" t="str">
        <x:f>IF(ISNUMBER($B43),ABS($B43-'02_Constants'!$D$19)/'02_Constants'!$D$19,"")</x:f>
      </x:c>
      <x:c r="Q43" s="376" t="str">
        <x:f>IF(ISNUMBER($B43),ABS($B43-'02_Constants'!$D$20)/'02_Constants'!$D$20,"")</x:f>
      </x:c>
      <x:c r="R43" s="376" t="str">
        <x:f>IF(ISNUMBER($B43),ABS($B43-'02_Constants'!$D$21)/'02_Constants'!$D$21,"")</x:f>
      </x:c>
      <x:c r="S43" s="376" t="str">
        <x:f>IF(ISNUMBER($B43),ABS($B43-'02_Constants'!$D$22)/'02_Constants'!$D$22,"")</x:f>
      </x:c>
      <x:c r="T43" s="376" t="str">
        <x:f>IF(ISNUMBER($B43),ABS($B43-'02_Constants'!$D$23)/'02_Constants'!$D$23,"")</x:f>
      </x:c>
      <x:c r="U43" s="376" t="str">
        <x:f>IF(ISNUMBER($B43),ABS($B43-'02_Constants'!$D$24)/'02_Constants'!$D$24,"")</x:f>
      </x:c>
      <x:c r="V43" s="376" t="str">
        <x:f>IF(ISNUMBER($B43),ABS($B43-'02_Constants'!$D$25)/'02_Constants'!$D$25,"")</x:f>
      </x:c>
      <x:c r="W43" s="376" t="str">
        <x:f>IF(ISNUMBER($B43),ABS($B43-'02_Constants'!$D$26)/'02_Constants'!$D$26,"")</x:f>
      </x:c>
      <x:c r="X43" s="376" t="str">
        <x:f>IF(ISNUMBER($B43),ABS($B43-'02_Constants'!$D$27)/'02_Constants'!$D$27,"")</x:f>
      </x:c>
      <x:c r="Y43" s="376" t="str">
        <x:f>IF(ISNUMBER($B43),ABS($B43-'02_Constants'!$D$28)/'02_Constants'!$D$28,"")</x:f>
      </x:c>
      <x:c r="Z43" s="376" t="str">
        <x:f>IF(ISNUMBER($B43),ABS($B43-'02_Constants'!$D$29)/'02_Constants'!$D$29,"")</x:f>
      </x:c>
      <x:c r="AA43" s="376" t="str">
        <x:f>IF(ISNUMBER($B43),ABS($B43-'02_Constants'!$D$30)/'02_Constants'!$D$30,"")</x:f>
      </x:c>
      <x:c r="AB43" s="376" t="str">
        <x:f>IF(ISNUMBER($B43),ABS($B43-'02_Constants'!$D$31)/'02_Constants'!$D$31,"")</x:f>
      </x:c>
      <x:c r="AC43" s="376" t="str">
        <x:f>IF(ISNUMBER($B43),ABS($B43-'02_Constants'!$D$32)/'02_Constants'!$D$32,"")</x:f>
      </x:c>
      <x:c r="AD43" s="376" t="str">
        <x:f>IF(ISNUMBER($B43),ABS($B43-'02_Constants'!$D$33)/'02_Constants'!$D$33,"")</x:f>
      </x:c>
    </x:row>
  </x:sheetData>
  <x:mergeCells>
    <x:mergeCell ref="A1:AD2"/>
    <x:mergeCell ref="A3:AD3"/>
  </x:mergeCells>
  <x:conditionalFormatting sqref="C6:AD35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8" hidden="0" customWidth="1"/>
    <x:col min="5" max="5" width="14" hidden="0" customWidth="1"/>
    <x:col min="6" max="6" width="20" hidden="0" customWidth="1"/>
    <x:col min="7" max="7" width="14" hidden="0" customWidth="1"/>
    <x:col min="8" max="8" width="48" hidden="0" customWidth="1"/>
    <x:col min="10" max="10" width="24" hidden="0" customWidth="1"/>
    <x:col min="11" max="11" width="12" hidden="0" customWidth="1"/>
  </x:cols>
  <x:sheetData>
    <x:row r="1" ht="30" customHeight="1">
      <x:c r="A1" s="126" t="str">
        <x:v>Attractor angles of the constants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3" ht="34" customHeight="1">
      <x:c r="A3" s="128" t="str">
        <x:v>For each relation, the scan finds the angle with the smallest error. This shows which targets cluster around 11:7 and which point elsewhere.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</x:row>
    <x:row r="5" ht="32" customHeight="1">
      <x:c r="A5" s="129" t="str">
        <x:v>Constant</x:v>
      </x:c>
      <x:c r="B5" s="150" t="str">
        <x:v>Family</x:v>
      </x:c>
      <x:c r="C5" s="150" t="str">
        <x:v>Weight</x:v>
      </x:c>
      <x:c r="D5" s="150" t="str">
        <x:v>Best angle [°]</x:v>
      </x:c>
      <x:c r="E5" s="150" t="str">
        <x:v>Min. error</x:v>
      </x:c>
      <x:c r="F5" s="150" t="str">
        <x:v>Δ relative to 11:7 [°]</x:v>
      </x:c>
      <x:c r="G5" s="150" t="str">
        <x:v>Status</x:v>
      </x:c>
      <x:c r="H5" s="130" t="str">
        <x:v>Comment</x:v>
      </x:c>
      <x:c r="I5" s="127"/>
      <x:c r="J5" s="129" t="str">
        <x:v>Constant</x:v>
      </x:c>
      <x:c r="K5" s="130" t="str">
        <x:v>Δ [m°]</x:v>
      </x:c>
    </x:row>
    <x:row r="6">
      <x:c r="A6" s="358" t="str">
        <x:f>'02_Constants'!B6</x:f>
        <x:v>Pi</x:v>
      </x:c>
      <x:c r="B6" s="358" t="str">
        <x:f>'02_Constants'!F6</x:f>
        <x:v>π</x:v>
      </x:c>
      <x:c r="C6" s="358" t="n">
        <x:f>'02_Constants'!G6</x:f>
        <x:v>1</x:v>
      </x:c>
      <x:c r="D6" s="356" t="n">
        <x:f>INDEX('05_Angle_Scan'!$A$6:$A$246,MATCH(MIN('05_Angle_Scan'!$C$6:$C$246),'05_Angle_Scan'!$C$6:$C$246,0))</x:f>
        <x:v>51.854000000000354</x:v>
      </x:c>
      <x:c r="E6" s="359" t="n">
        <x:f>MIN('05_Angle_Scan'!$C$6:$C$246)</x:f>
        <x:v>9.337207451228231e-7</x:v>
      </x:c>
      <x:c r="F6" s="409" t="n">
        <x:f>D6-'01_Models'!$E$7</x:f>
        <x:v>0.01122658736940707</x:v>
      </x:c>
      <x:c r="G6" s="131" t="str">
        <x:v>target</x:v>
      </x:c>
      <x:c r="H6" s="131" t="str">
        <x:v>π favors 51.8540°.</x:v>
      </x:c>
      <x:c r="I6" s="127"/>
      <x:c r="J6" s="127" t="str">
        <x:f>A6&amp;""</x:f>
        <x:v>Pi</x:v>
      </x:c>
      <x:c r="K6" s="410" t="n">
        <x:f>F6*1000</x:f>
        <x:v>11.22658736940707</x:v>
      </x:c>
    </x:row>
    <x:row r="7">
      <x:c r="A7" s="368" t="str">
        <x:f>'02_Constants'!B7</x:f>
        <x:v>Euler–Mascheroni</x:v>
      </x:c>
      <x:c r="B7" s="368" t="str">
        <x:f>'02_Constants'!F7</x:f>
        <x:v>γ–√3–√6</x:v>
      </x:c>
      <x:c r="C7" s="368" t="n">
        <x:f>'02_Constants'!G7</x:f>
        <x:v>0.3333333333333333</x:v>
      </x:c>
      <x:c r="D7" s="370" t="n">
        <x:f>INDEX('05_Angle_Scan'!$A$6:$A$246,MATCH(MIN('05_Angle_Scan'!$D$6:$D$246),'05_Angle_Scan'!$D$6:$D$246,0))</x:f>
        <x:v>51.848000000000326</x:v>
      </x:c>
      <x:c r="E7" s="369" t="n">
        <x:f>MIN('05_Angle_Scan'!$D$6:$D$246)</x:f>
        <x:v>2.418422969016616e-7</x:v>
      </x:c>
      <x:c r="F7" s="411" t="n">
        <x:f>D7-'01_Models'!$E$7</x:f>
        <x:v>0.0052265873693784215</x:v>
      </x:c>
      <x:c r="G7" s="135" t="str">
        <x:v>target</x:v>
      </x:c>
      <x:c r="H7" s="135" t="str"/>
      <x:c r="I7" s="127"/>
      <x:c r="J7" s="127" t="str">
        <x:f>A7&amp;""</x:f>
        <x:v>Euler–Mascheroni</x:v>
      </x:c>
      <x:c r="K7" s="410" t="n">
        <x:f>F7*1000</x:f>
        <x:v>5.2265873693784215</x:v>
      </x:c>
    </x:row>
    <x:row r="8">
      <x:c r="A8" s="368" t="str">
        <x:f>'02_Constants'!B8</x:f>
        <x:v>Square root of 3</x:v>
      </x:c>
      <x:c r="B8" s="368" t="str">
        <x:f>'02_Constants'!F8</x:f>
        <x:v>γ–√3–√6</x:v>
      </x:c>
      <x:c r="C8" s="368" t="n">
        <x:f>'02_Constants'!G8</x:f>
        <x:v>0.3333333333333333</x:v>
      </x:c>
      <x:c r="D8" s="370" t="n">
        <x:f>INDEX('05_Angle_Scan'!$A$6:$A$246,MATCH(MIN('05_Angle_Scan'!$E$6:$E$246),'05_Angle_Scan'!$E$6:$E$246,0))</x:f>
        <x:v>51.812500000000156</x:v>
      </x:c>
      <x:c r="E8" s="369" t="n">
        <x:f>MIN('05_Angle_Scan'!$E$6:$E$246)</x:f>
        <x:v>7.24850803173967e-7</x:v>
      </x:c>
      <x:c r="F8" s="411" t="n">
        <x:f>D8-'01_Models'!$E$7</x:f>
        <x:v>-0.030273412630791086</x:v>
      </x:c>
      <x:c r="G8" s="135" t="str">
        <x:v>target</x:v>
      </x:c>
      <x:c r="H8" s="135" t="str"/>
      <x:c r="I8" s="127"/>
      <x:c r="J8" s="127" t="str">
        <x:f>A8&amp;""</x:f>
        <x:v>Square root of 3</x:v>
      </x:c>
      <x:c r="K8" s="410" t="n">
        <x:f>F8*1000</x:f>
        <x:v>-30.273412630791086</x:v>
      </x:c>
    </x:row>
    <x:row r="9">
      <x:c r="A9" s="368" t="str">
        <x:f>'02_Constants'!B9</x:f>
        <x:v>Square root of 6</x:v>
      </x:c>
      <x:c r="B9" s="368" t="str">
        <x:f>'02_Constants'!F9</x:f>
        <x:v>γ–√3–√6</x:v>
      </x:c>
      <x:c r="C9" s="368" t="n">
        <x:f>'02_Constants'!G9</x:f>
        <x:v>0.3333333333333333</x:v>
      </x:c>
      <x:c r="D9" s="370" t="n">
        <x:f>INDEX('05_Angle_Scan'!$A$6:$A$246,MATCH(MIN('05_Angle_Scan'!$F$6:$F$246),'05_Angle_Scan'!$F$6:$F$246,0))</x:f>
        <x:v>51.812500000000156</x:v>
      </x:c>
      <x:c r="E9" s="369" t="n">
        <x:f>MIN('05_Angle_Scan'!$F$6:$F$246)</x:f>
        <x:v>7.248508031395107e-7</x:v>
      </x:c>
      <x:c r="F9" s="411" t="n">
        <x:f>D9-'01_Models'!$E$7</x:f>
        <x:v>-0.030273412630791086</x:v>
      </x:c>
      <x:c r="G9" s="135" t="str">
        <x:v>target</x:v>
      </x:c>
      <x:c r="H9" s="135" t="str"/>
      <x:c r="I9" s="127"/>
      <x:c r="J9" s="127" t="str">
        <x:f>A9&amp;""</x:f>
        <x:v>Square root of 6</x:v>
      </x:c>
      <x:c r="K9" s="410" t="n">
        <x:f>F9*1000</x:f>
        <x:v>-30.273412630791086</x:v>
      </x:c>
    </x:row>
    <x:row r="10">
      <x:c r="A10" s="368" t="str">
        <x:f>'02_Constants'!B10</x:f>
        <x:v>Square root of 2</x:v>
      </x:c>
      <x:c r="B10" s="368" t="str">
        <x:f>'02_Constants'!F10</x:f>
        <x:v>square</x:v>
      </x:c>
      <x:c r="C10" s="368" t="n">
        <x:f>'02_Constants'!G10</x:f>
        <x:v>0</x:v>
      </x:c>
      <x:c r="D10" s="370"/>
      <x:c r="E10" s="369" t="n">
        <x:v>0</x:v>
      </x:c>
      <x:c r="F10" s="411"/>
      <x:c r="G10" s="135" t="str">
        <x:v>structural</x:v>
      </x:c>
      <x:c r="H10" s="135" t="str">
        <x:v>√2 is exact for every slope angle of a square-based pyramid.</x:v>
      </x:c>
      <x:c r="I10" s="127"/>
      <x:c r="J10" s="127" t="str">
        <x:f>A11&amp;""</x:f>
        <x:v>Square root of 5</x:v>
      </x:c>
      <x:c r="K10" s="410" t="n">
        <x:f>F11*1000</x:f>
        <x:v>-15.273412630719463</x:v>
      </x:c>
    </x:row>
    <x:row r="11">
      <x:c r="A11" s="368" t="str">
        <x:f>'02_Constants'!B11</x:f>
        <x:v>Square root of 5</x:v>
      </x:c>
      <x:c r="B11" s="368" t="str">
        <x:f>'02_Constants'!F11</x:f>
        <x:v>φ</x:v>
      </x:c>
      <x:c r="C11" s="368" t="n">
        <x:f>'02_Constants'!G11</x:f>
        <x:v>0.3333333333333333</x:v>
      </x:c>
      <x:c r="D11" s="370" t="n">
        <x:f>INDEX('05_Angle_Scan'!$A$6:$A$246,MATCH(MIN('05_Angle_Scan'!$H$6:$H$246),'05_Angle_Scan'!$H$6:$H$246,0))</x:f>
        <x:v>51.82750000000023</x:v>
      </x:c>
      <x:c r="E11" s="369" t="n">
        <x:f>MIN('05_Angle_Scan'!$H$6:$H$246)</x:f>
        <x:v>0.0000025480797388679553</x:v>
      </x:c>
      <x:c r="F11" s="411" t="n">
        <x:f>D11-'01_Models'!$E$7</x:f>
        <x:v>-0.015273412630719463</x:v>
      </x:c>
      <x:c r="G11" s="135" t="str">
        <x:v>derived</x:v>
      </x:c>
      <x:c r="H11" s="135" t="str"/>
      <x:c r="I11" s="127"/>
      <x:c r="J11" s="127" t="str">
        <x:f>A12&amp;""</x:f>
        <x:v>Tribonacci constant</x:v>
      </x:c>
      <x:c r="K11" s="410" t="n">
        <x:f>F12*1000</x:f>
        <x:v>18.726587369442882</x:v>
      </x:c>
    </x:row>
    <x:row r="12">
      <x:c r="A12" s="368" t="str">
        <x:f>'02_Constants'!B12</x:f>
        <x:v>Tribonacci constant</x:v>
      </x:c>
      <x:c r="B12" s="368" t="str">
        <x:f>'02_Constants'!F12</x:f>
        <x:v>Tribonacci</x:v>
      </x:c>
      <x:c r="C12" s="368" t="n">
        <x:f>'02_Constants'!G12</x:f>
        <x:v>1</x:v>
      </x:c>
      <x:c r="D12" s="370" t="n">
        <x:f>INDEX('05_Angle_Scan'!$A$6:$A$246,MATCH(MIN('05_Angle_Scan'!$I$6:$I$246),'05_Angle_Scan'!$I$6:$I$246,0))</x:f>
        <x:v>51.86150000000039</x:v>
      </x:c>
      <x:c r="E12" s="369" t="n">
        <x:f>MIN('05_Angle_Scan'!$I$6:$I$246)</x:f>
        <x:v>0.000001519226975588828</x:v>
      </x:c>
      <x:c r="F12" s="411" t="n">
        <x:f>D12-'01_Models'!$E$7</x:f>
        <x:v>0.018726587369442882</x:v>
      </x:c>
      <x:c r="G12" s="135" t="str">
        <x:v>target</x:v>
      </x:c>
      <x:c r="H12" s="135" t="str"/>
      <x:c r="I12" s="127"/>
      <x:c r="J12" s="127" t="str">
        <x:f>A13&amp;""</x:f>
        <x:v>Brun's constant B₂</x:v>
      </x:c>
      <x:c r="K12" s="410" t="n">
        <x:f>F13*1000</x:f>
        <x:v>-13.7734126307123</x:v>
      </x:c>
    </x:row>
    <x:row r="13">
      <x:c r="A13" s="368" t="str">
        <x:f>'02_Constants'!B13</x:f>
        <x:v>Brun's constant B₂</x:v>
      </x:c>
      <x:c r="B13" s="368" t="str">
        <x:f>'02_Constants'!F13</x:f>
        <x:v>Brun</x:v>
      </x:c>
      <x:c r="C13" s="368" t="n">
        <x:f>'02_Constants'!G13</x:f>
        <x:v>1</x:v>
      </x:c>
      <x:c r="D13" s="370" t="n">
        <x:f>INDEX('05_Angle_Scan'!$A$6:$A$246,MATCH(MIN('05_Angle_Scan'!$J$6:$J$246),'05_Angle_Scan'!$J$6:$J$246,0))</x:f>
        <x:v>51.829000000000235</x:v>
      </x:c>
      <x:c r="E13" s="369" t="n">
        <x:f>MIN('05_Angle_Scan'!$J$6:$J$246)</x:f>
        <x:v>0.0000024352516894129673</x:v>
      </x:c>
      <x:c r="F13" s="411" t="n">
        <x:f>D13-'01_Models'!$E$7</x:f>
        <x:v>-0.0137734126307123</x:v>
      </x:c>
      <x:c r="G13" s="135" t="str">
        <x:v>target</x:v>
      </x:c>
      <x:c r="H13" s="135" t="str"/>
      <x:c r="I13" s="127"/>
      <x:c r="J13" s="127" t="str">
        <x:f>A14&amp;""</x:f>
        <x:v>Reciprocal of φ</x:v>
      </x:c>
      <x:c r="K13" s="410" t="n">
        <x:f>F14*1000</x:f>
        <x:v>-15.273412630719463</x:v>
      </x:c>
    </x:row>
    <x:row r="14">
      <x:c r="A14" s="368" t="str">
        <x:f>'02_Constants'!B14</x:f>
        <x:v>Reciprocal of φ</x:v>
      </x:c>
      <x:c r="B14" s="368" t="str">
        <x:f>'02_Constants'!F14</x:f>
        <x:v>φ</x:v>
      </x:c>
      <x:c r="C14" s="368" t="n">
        <x:f>'02_Constants'!G14</x:f>
        <x:v>0.3333333333333333</x:v>
      </x:c>
      <x:c r="D14" s="370" t="n">
        <x:f>INDEX('05_Angle_Scan'!$A$6:$A$246,MATCH(MIN('05_Angle_Scan'!$K$6:$K$246),'05_Angle_Scan'!$K$6:$K$246,0))</x:f>
        <x:v>51.82750000000023</x:v>
      </x:c>
      <x:c r="E14" s="369" t="n">
        <x:f>MIN('05_Angle_Scan'!$K$6:$K$246)</x:f>
        <x:v>0.000001760682896579956</x:v>
      </x:c>
      <x:c r="F14" s="411" t="n">
        <x:f>D14-'01_Models'!$E$7</x:f>
        <x:v>-0.015273412630719463</x:v>
      </x:c>
      <x:c r="G14" s="135" t="str">
        <x:v>derived</x:v>
      </x:c>
      <x:c r="H14" s="135" t="str"/>
      <x:c r="I14" s="127"/>
      <x:c r="J14" s="127" t="str">
        <x:f>A15&amp;""</x:f>
        <x:v>Golden ratio</x:v>
      </x:c>
      <x:c r="K14" s="410" t="n">
        <x:f>F15*1000</x:f>
        <x:v>-15.273412630719463</x:v>
      </x:c>
    </x:row>
    <x:row r="15">
      <x:c r="A15" s="368" t="str">
        <x:f>'02_Constants'!B15</x:f>
        <x:v>Golden ratio</x:v>
      </x:c>
      <x:c r="B15" s="368" t="str">
        <x:f>'02_Constants'!F15</x:f>
        <x:v>φ</x:v>
      </x:c>
      <x:c r="C15" s="368" t="n">
        <x:f>'02_Constants'!G15</x:f>
        <x:v>0.3333333333333333</x:v>
      </x:c>
      <x:c r="D15" s="370" t="n">
        <x:f>INDEX('05_Angle_Scan'!$A$6:$A$246,MATCH(MIN('05_Angle_Scan'!$L$6:$L$246),'05_Angle_Scan'!$L$6:$L$246,0))</x:f>
        <x:v>51.82750000000023</x:v>
      </x:c>
      <x:c r="E15" s="369" t="n">
        <x:f>MIN('05_Angle_Scan'!$L$6:$L$246)</x:f>
        <x:v>0.000004609540798320618</x:v>
      </x:c>
      <x:c r="F15" s="411" t="n">
        <x:f>D15-'01_Models'!$E$7</x:f>
        <x:v>-0.015273412630719463</x:v>
      </x:c>
      <x:c r="G15" s="135" t="str">
        <x:v>derived</x:v>
      </x:c>
      <x:c r="H15" s="135" t="str">
        <x:v>The φ family favors 51.8273°.</x:v>
      </x:c>
      <x:c r="I15" s="127"/>
      <x:c r="J15" s="127" t="str">
        <x:f>A16&amp;""</x:f>
        <x:v>Euler's number e</x:v>
      </x:c>
      <x:c r="K15" s="410" t="n">
        <x:f>F16*1000</x:f>
        <x:v>7.726587369390359</x:v>
      </x:c>
    </x:row>
    <x:row r="16">
      <x:c r="A16" s="368" t="str">
        <x:f>'02_Constants'!B16</x:f>
        <x:v>Euler's number e</x:v>
      </x:c>
      <x:c r="B16" s="368" t="str">
        <x:f>'02_Constants'!F16</x:f>
        <x:v>e</x:v>
      </x:c>
      <x:c r="C16" s="368" t="n">
        <x:f>'02_Constants'!G16</x:f>
        <x:v>0.5</x:v>
      </x:c>
      <x:c r="D16" s="370" t="n">
        <x:f>INDEX('05_Angle_Scan'!$A$6:$A$246,MATCH(MIN('05_Angle_Scan'!$M$6:$M$246),'05_Angle_Scan'!$M$6:$M$246,0))</x:f>
        <x:v>51.85050000000034</x:v>
      </x:c>
      <x:c r="E16" s="369" t="n">
        <x:f>MIN('05_Angle_Scan'!$M$6:$M$246)</x:f>
        <x:v>8.93093741012462e-7</x:v>
      </x:c>
      <x:c r="F16" s="411" t="n">
        <x:f>D16-'01_Models'!$E$7</x:f>
        <x:v>0.007726587369390359</x:v>
      </x:c>
      <x:c r="G16" s="135" t="str">
        <x:v>target</x:v>
      </x:c>
      <x:c r="H16" s="135" t="str">
        <x:v>e favors the vicinity of 51.8505°.</x:v>
      </x:c>
      <x:c r="I16" s="127"/>
      <x:c r="J16" s="127" t="str">
        <x:f>A17&amp;""</x:f>
        <x:v>e − 1</x:v>
      </x:c>
      <x:c r="K16" s="410" t="n">
        <x:f>F17*1000</x:f>
        <x:v>7.726587369390359</x:v>
      </x:c>
    </x:row>
    <x:row r="17">
      <x:c r="A17" s="375" t="str">
        <x:f>'02_Constants'!B17</x:f>
        <x:v>e − 1</x:v>
      </x:c>
      <x:c r="B17" s="375" t="str">
        <x:f>'02_Constants'!F17</x:f>
        <x:v>e</x:v>
      </x:c>
      <x:c r="C17" s="375" t="n">
        <x:f>'02_Constants'!G17</x:f>
        <x:v>0.5</x:v>
      </x:c>
      <x:c r="D17" s="372" t="n">
        <x:f>INDEX('05_Angle_Scan'!$A$6:$A$246,MATCH(MIN('05_Angle_Scan'!$N$6:$N$246),'05_Angle_Scan'!$N$6:$N$246,0))</x:f>
        <x:v>51.85050000000034</x:v>
      </x:c>
      <x:c r="E17" s="376" t="n">
        <x:f>MIN('05_Angle_Scan'!$N$6:$N$246)</x:f>
        <x:v>0.0000014128534953325018</x:v>
      </x:c>
      <x:c r="F17" s="412" t="n">
        <x:f>D17-'01_Models'!$E$7</x:f>
        <x:v>0.007726587369390359</x:v>
      </x:c>
      <x:c r="G17" s="141" t="str">
        <x:v>derived</x:v>
      </x:c>
      <x:c r="H17" s="141" t="str"/>
      <x:c r="I17" s="127"/>
      <x:c r="J17" s="127"/>
      <x:c r="K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</x:row>
    <x:row r="22" ht="32" customHeight="1">
      <x:c r="A22" s="129" t="str">
        <x:v>Objective function</x:v>
      </x:c>
      <x:c r="B22" s="150" t="str">
        <x:v>Best angle [°]</x:v>
      </x:c>
      <x:c r="C22" s="150" t="str">
        <x:v>Target value</x:v>
      </x:c>
      <x:c r="D22" s="130" t="str">
        <x:v>Meaning</x:v>
      </x:c>
      <x:c r="E22" s="127"/>
      <x:c r="F22" s="127"/>
      <x:c r="G22" s="127"/>
      <x:c r="H22" s="127"/>
      <x:c r="I22" s="127"/>
      <x:c r="J22" s="127"/>
      <x:c r="K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</x:row>
    <x:row r="24">
      <x:c r="A24" s="131" t="str">
        <x:v>Minimum mean error</x:v>
      </x:c>
      <x:c r="B24" s="356" t="n">
        <x:f>INDEX('05_Angle_Scan'!$A$6:$A$246,MATCH(MIN('05_Angle_Scan'!$O$6:$O$246),'05_Angle_Scan'!$O$6:$O$246,0))</x:f>
        <x:v>51.85050000000034</x:v>
      </x:c>
      <x:c r="C24" s="359" t="n">
        <x:f>MIN('05_Angle_Scan'!$O$6:$O$246)</x:f>
        <x:v>0.00017475114611244027</x:v>
      </x:c>
      <x:c r="D24" s="131" t="str">
        <x:v>Mean of 12</x:v>
      </x:c>
      <x:c r="E24" s="127"/>
      <x:c r="F24" s="127"/>
      <x:c r="G24" s="127"/>
      <x:c r="H24" s="127"/>
      <x:c r="I24" s="127"/>
      <x:c r="J24" s="127"/>
      <x:c r="K24" s="127"/>
    </x:row>
    <x:row r="25">
      <x:c r="A25" s="135" t="str">
        <x:v>Minimum independent error</x:v>
      </x:c>
      <x:c r="B25" s="370" t="n">
        <x:f>INDEX('05_Angle_Scan'!$A$6:$A$246,MATCH(MIN('05_Angle_Scan'!$P$6:$P$246),'05_Angle_Scan'!$P$6:$P$246,0))</x:f>
        <x:v>51.85050000000034</x:v>
      </x:c>
      <x:c r="C25" s="369" t="n">
        <x:f>MIN('05_Angle_Scan'!$P$6:$P$246)</x:f>
        <x:v>0.00018109531773010773</x:v>
      </x:c>
      <x:c r="D25" s="135" t="str">
        <x:v>Family weights</x:v>
      </x:c>
      <x:c r="E25" s="127"/>
      <x:c r="F25" s="127"/>
      <x:c r="G25" s="127"/>
      <x:c r="H25" s="127"/>
      <x:c r="I25" s="127"/>
      <x:c r="J25" s="127"/>
      <x:c r="K25" s="127"/>
    </x:row>
    <x:row r="26">
      <x:c r="A26" s="135" t="str">
        <x:v>Minimum RMS</x:v>
      </x:c>
      <x:c r="B26" s="370" t="n">
        <x:f>INDEX('05_Angle_Scan'!$A$6:$A$246,MATCH(MIN('05_Angle_Scan'!$Q$6:$Q$246),'05_Angle_Scan'!$Q$6:$Q$246,0))</x:f>
        <x:v>51.84850000000033</x:v>
      </x:c>
      <x:c r="C26" s="369" t="n">
        <x:f>MIN('05_Angle_Scan'!$Q$6:$Q$246)</x:f>
        <x:v>0.0002270394460794517</x:v>
      </x:c>
      <x:c r="D26" s="135" t="str">
        <x:v>Penalizes larger deviations more strongly</x:v>
      </x:c>
      <x:c r="E26" s="127"/>
      <x:c r="F26" s="127"/>
      <x:c r="G26" s="127"/>
      <x:c r="H26" s="127"/>
      <x:c r="I26" s="127"/>
      <x:c r="J26" s="127"/>
      <x:c r="K26" s="127"/>
    </x:row>
    <x:row r="27">
      <x:c r="A27" s="141" t="str">
        <x:v>Minimax</x:v>
      </x:c>
      <x:c r="B27" s="372" t="n">
        <x:f>INDEX('05_Angle_Scan'!$A$6:$A$246,MATCH(MIN('05_Angle_Scan'!$R$6:$R$246),'05_Angle_Scan'!$R$6:$R$246,0))</x:f>
        <x:v>51.84500000000031</x:v>
      </x:c>
      <x:c r="C27" s="376" t="n">
        <x:f>MIN('05_Angle_Scan'!$R$6:$R$246)</x:f>
        <x:v>0.0003972353641158168</x:v>
      </x:c>
      <x:c r="D27" s="141" t="str">
        <x:v>Minimizes the largest error</x:v>
      </x:c>
      <x:c r="E27" s="127"/>
      <x:c r="F27" s="127"/>
      <x:c r="G27" s="127"/>
      <x:c r="H27" s="127"/>
      <x:c r="I27" s="127"/>
      <x:c r="J27" s="127"/>
      <x:c r="K27" s="127"/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305624bfb9a44b8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26" t="str">
        <x:v>Optical correspondence — secondary rainbow</x:v>
      </x:c>
      <x:c r="B1" s="127"/>
      <x:c r="C1" s="127"/>
      <x:c r="D1" s="127"/>
      <x:c r="E1" s="127"/>
      <x:c r="F1" s="127"/>
    </x:row>
    <x:row r="2">
      <x:c r="A2" s="127"/>
      <x:c r="B2" s="127"/>
      <x:c r="C2" s="127"/>
      <x:c r="D2" s="127"/>
      <x:c r="E2" s="127"/>
      <x:c r="F2" s="127"/>
    </x:row>
    <x:row r="3" ht="34" customHeight="1">
      <x:c r="A3" s="128" t="str">
        <x:v>The optical correspondence is shown as a separate supporting hypothesis and does not affect the ranking of the 12 constants.</x:v>
      </x:c>
      <x:c r="B3" s="127"/>
      <x:c r="C3" s="127"/>
      <x:c r="D3" s="127"/>
      <x:c r="E3" s="127"/>
      <x:c r="F3" s="127"/>
    </x:row>
    <x:row r="4">
      <x:c r="A4" s="127"/>
      <x:c r="B4" s="127"/>
      <x:c r="C4" s="127"/>
      <x:c r="D4" s="127"/>
      <x:c r="E4" s="127"/>
      <x:c r="F4" s="127"/>
    </x:row>
    <x:row r="5" ht="32" customHeight="1">
      <x:c r="A5" s="129" t="str">
        <x:v>Quantity</x:v>
      </x:c>
      <x:c r="B5" s="150" t="str">
        <x:v>11:7 pyramid</x:v>
      </x:c>
      <x:c r="C5" s="150" t="str">
        <x:v>Optical reference</x:v>
      </x:c>
      <x:c r="D5" s="130" t="str">
        <x:v>Difference</x:v>
      </x:c>
      <x:c r="E5" s="127"/>
      <x:c r="F5" s="149" t="str">
        <x:v>Philip Laven gave a water refractive index of n = 1.33659 at 525 nm. In 2017 correspondence, he estimated the secondary-rainbow angle for green light near 525 nm at about 51.83° from the anti-solar point. The source page itself emphasizes the dependence of the angle on the refractive-index model, temperature, and droplet size.</x:v>
      </x:c>
    </x:row>
    <x:row r="6">
      <x:c r="A6" s="131" t="str">
        <x:v>Angle from horizontal / anti-solar point [°]</x:v>
      </x:c>
      <x:c r="B6" s="356" t="n">
        <x:f>'01_Models'!E7</x:f>
        <x:v>51.84277341263095</x:v>
      </x:c>
      <x:c r="C6" s="413" t="n">
        <x:v>51.83</x:v>
      </x:c>
      <x:c r="D6" s="356" t="n">
        <x:f>ABS(B6-C6)</x:f>
        <x:v>0.01277341263094911</x:v>
      </x:c>
      <x:c r="E6" s="127"/>
      <x:c r="F6" s="127"/>
    </x:row>
    <x:row r="7">
      <x:c r="A7" s="135" t="str">
        <x:v>Scattering angle [°]</x:v>
      </x:c>
      <x:c r="B7" s="370" t="n">
        <x:f>180-B6</x:f>
        <x:v>128.15722658736905</x:v>
      </x:c>
      <x:c r="C7" s="366" t="n">
        <x:v>128.17</x:v>
      </x:c>
      <x:c r="D7" s="370" t="n">
        <x:f>ABS(B7-C7)</x:f>
        <x:v>0.0127734126309349</x:v>
      </x:c>
      <x:c r="E7" s="127"/>
      <x:c r="F7" s="127"/>
    </x:row>
    <x:row r="8">
      <x:c r="A8" s="135" t="str">
        <x:v>Wavelength [nm]</x:v>
      </x:c>
      <x:c r="B8" s="135"/>
      <x:c r="C8" s="414" t="n">
        <x:v>525</x:v>
      </x:c>
      <x:c r="D8" s="135"/>
      <x:c r="E8" s="127"/>
      <x:c r="F8" s="127"/>
    </x:row>
    <x:row r="9">
      <x:c r="A9" s="135" t="str">
        <x:v>Refractive index n</x:v>
      </x:c>
      <x:c r="B9" s="135"/>
      <x:c r="C9" s="414" t="n">
        <x:v>1.33659</x:v>
      </x:c>
      <x:c r="D9" s="135"/>
      <x:c r="E9" s="127"/>
      <x:c r="F9" s="127"/>
    </x:row>
    <x:row r="10">
      <x:c r="A10" s="141" t="str">
        <x:v>Methodological status</x:v>
      </x:c>
      <x:c r="B10" s="141" t="str">
        <x:v>numerical correspondence</x:v>
      </x:c>
      <x:c r="C10" s="141" t="str">
        <x:v>geometrical optics</x:v>
      </x:c>
      <x:c r="D10" s="141" t="str">
        <x:v>not evidence of intentional encoding</x:v>
      </x:c>
      <x:c r="E10" s="127"/>
      <x:c r="F10" s="127"/>
    </x:row>
    <x:row r="11">
      <x:c r="A11" s="127"/>
      <x:c r="B11" s="127"/>
      <x:c r="C11" s="127"/>
      <x:c r="D11" s="127"/>
      <x:c r="E11" s="127"/>
      <x:c r="F11" s="127"/>
    </x:row>
    <x:row r="12">
      <x:c r="A12" s="127"/>
      <x:c r="B12" s="127"/>
      <x:c r="C12" s="127"/>
      <x:c r="D12" s="127"/>
      <x:c r="E12" s="127"/>
      <x:c r="F12" s="127"/>
    </x:row>
    <x:row r="13" ht="32" customHeight="1">
      <x:c r="A13" s="129" t="str">
        <x:v>Wavelength [nm]</x:v>
      </x:c>
      <x:c r="B13" s="130" t="str">
        <x:v>water n (IAPWS, 5°C)</x:v>
      </x:c>
      <x:c r="C13" s="127"/>
      <x:c r="D13" s="127"/>
      <x:c r="E13" s="127"/>
      <x:c r="F13" s="127"/>
    </x:row>
    <x:row r="14">
      <x:c r="A14" s="131" t="n">
        <x:v>400</x:v>
      </x:c>
      <x:c r="B14" s="415" t="n">
        <x:v>1.34451</x:v>
      </x:c>
      <x:c r="C14" s="127"/>
      <x:c r="D14" s="127"/>
      <x:c r="E14" s="127"/>
      <x:c r="F14" s="127"/>
    </x:row>
    <x:row r="15">
      <x:c r="A15" s="135" t="n">
        <x:v>425</x:v>
      </x:c>
      <x:c r="B15" s="416" t="n">
        <x:v>1.34235</x:v>
      </x:c>
      <x:c r="C15" s="127"/>
      <x:c r="D15" s="127"/>
      <x:c r="E15" s="127"/>
      <x:c r="F15" s="127"/>
    </x:row>
    <x:row r="16">
      <x:c r="A16" s="135" t="n">
        <x:v>450</x:v>
      </x:c>
      <x:c r="B16" s="416" t="n">
        <x:v>1.34055</x:v>
      </x:c>
      <x:c r="C16" s="127"/>
      <x:c r="D16" s="127"/>
      <x:c r="E16" s="127"/>
      <x:c r="F16" s="127"/>
    </x:row>
    <x:row r="17">
      <x:c r="A17" s="135" t="n">
        <x:v>475</x:v>
      </x:c>
      <x:c r="B17" s="416" t="n">
        <x:v>1.33903</x:v>
      </x:c>
      <x:c r="C17" s="127"/>
      <x:c r="D17" s="127"/>
      <x:c r="E17" s="127"/>
      <x:c r="F17" s="127"/>
    </x:row>
    <x:row r="18">
      <x:c r="A18" s="135" t="n">
        <x:v>500</x:v>
      </x:c>
      <x:c r="B18" s="416" t="n">
        <x:v>1.33772</x:v>
      </x:c>
      <x:c r="C18" s="127"/>
      <x:c r="D18" s="127"/>
      <x:c r="E18" s="127"/>
      <x:c r="F18" s="127"/>
    </x:row>
    <x:row r="19">
      <x:c r="A19" s="135" t="n">
        <x:v>525</x:v>
      </x:c>
      <x:c r="B19" s="416" t="n">
        <x:v>1.33659</x:v>
      </x:c>
      <x:c r="C19" s="127"/>
      <x:c r="D19" s="127"/>
      <x:c r="E19" s="127"/>
      <x:c r="F19" s="127"/>
    </x:row>
    <x:row r="20">
      <x:c r="A20" s="135" t="n">
        <x:v>550</x:v>
      </x:c>
      <x:c r="B20" s="416" t="n">
        <x:v>1.3356</x:v>
      </x:c>
      <x:c r="C20" s="127"/>
      <x:c r="D20" s="127"/>
      <x:c r="E20" s="127"/>
      <x:c r="F20" s="127"/>
    </x:row>
    <x:row r="21">
      <x:c r="A21" s="135" t="n">
        <x:v>575</x:v>
      </x:c>
      <x:c r="B21" s="416" t="n">
        <x:v>1.33472</x:v>
      </x:c>
      <x:c r="C21" s="127"/>
      <x:c r="D21" s="127"/>
      <x:c r="E21" s="127"/>
      <x:c r="F21" s="127"/>
    </x:row>
    <x:row r="22">
      <x:c r="A22" s="135" t="n">
        <x:v>600</x:v>
      </x:c>
      <x:c r="B22" s="416" t="n">
        <x:v>1.33393</x:v>
      </x:c>
      <x:c r="C22" s="127"/>
      <x:c r="D22" s="127"/>
      <x:c r="E22" s="127"/>
      <x:c r="F22" s="127"/>
    </x:row>
    <x:row r="23">
      <x:c r="A23" s="135" t="n">
        <x:v>625</x:v>
      </x:c>
      <x:c r="B23" s="416" t="n">
        <x:v>1.33322</x:v>
      </x:c>
      <x:c r="C23" s="127"/>
      <x:c r="D23" s="127"/>
      <x:c r="E23" s="127"/>
      <x:c r="F23" s="127"/>
    </x:row>
    <x:row r="24">
      <x:c r="A24" s="135" t="n">
        <x:v>650</x:v>
      </x:c>
      <x:c r="B24" s="416" t="n">
        <x:v>1.33257</x:v>
      </x:c>
      <x:c r="C24" s="127"/>
      <x:c r="D24" s="127"/>
      <x:c r="E24" s="127"/>
      <x:c r="F24" s="127"/>
    </x:row>
    <x:row r="25">
      <x:c r="A25" s="135" t="n">
        <x:v>675</x:v>
      </x:c>
      <x:c r="B25" s="416" t="n">
        <x:v>1.33197</x:v>
      </x:c>
      <x:c r="C25" s="127"/>
      <x:c r="D25" s="127"/>
      <x:c r="E25" s="127"/>
      <x:c r="F25" s="127"/>
    </x:row>
    <x:row r="26">
      <x:c r="A26" s="141" t="n">
        <x:v>700</x:v>
      </x:c>
      <x:c r="B26" s="417" t="n">
        <x:v>1.33141</x:v>
      </x:c>
      <x:c r="C26" s="127"/>
      <x:c r="D26" s="127"/>
      <x:c r="E26" s="127"/>
      <x:c r="F26" s="127"/>
    </x:row>
  </x:sheetData>
  <x:mergeCells>
    <x:mergeCell ref="A1:N2"/>
    <x:mergeCell ref="A3:N3"/>
    <x:mergeCell ref="F5:N9"/>
  </x:mergeCells>
  <x:pageMargins left="0.7" right="0.7" top="0.75" bottom="0.75" header="0.3" footer="0.3"/>
  <x:drawing xmlns:r="http://schemas.openxmlformats.org/officeDocument/2006/relationships" r:id="R70af8d15c193432c"/>
  <x:tableParts count="1">
    <x:tablePart xmlns:r="http://schemas.openxmlformats.org/officeDocument/2006/relationships" r:id="Rab96ec648cbd409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42" hidden="0" customWidth="1"/>
    <x:col min="4" max="4" width="78" hidden="0" customWidth="1"/>
    <x:col min="5" max="5" width="54" hidden="0" customWidth="1"/>
  </x:cols>
  <x:sheetData>
    <x:row r="1" ht="30" customHeight="1">
      <x:c r="A1" s="126" t="str">
        <x:v>Sources and limitations</x:v>
      </x:c>
      <x:c r="B1" s="127"/>
      <x:c r="C1" s="127"/>
      <x:c r="D1" s="127"/>
      <x:c r="E1" s="127"/>
    </x:row>
    <x:row r="2">
      <x:c r="A2" s="127"/>
      <x:c r="B2" s="127"/>
      <x:c r="C2" s="127"/>
      <x:c r="D2" s="127"/>
      <x:c r="E2" s="127"/>
    </x:row>
    <x:row r="3" ht="34" customHeight="1">
      <x:c r="A3" s="128" t="str">
        <x:v>URLs are shown explicitly. Geometry and error calculations are spreadsheet formulas; the sources are not treated as equally strong historical evidence.</x:v>
      </x:c>
      <x:c r="B3" s="127"/>
      <x:c r="C3" s="127"/>
      <x:c r="D3" s="127"/>
      <x:c r="E3" s="127"/>
    </x:row>
    <x:row r="4">
      <x:c r="A4" s="127"/>
      <x:c r="B4" s="127"/>
      <x:c r="C4" s="127"/>
      <x:c r="D4" s="127"/>
      <x:c r="E4" s="127"/>
    </x:row>
    <x:row r="5" ht="32" customHeight="1">
      <x:c r="A5" s="129" t="str">
        <x:v>Source</x:v>
      </x:c>
      <x:c r="B5" s="150" t="str">
        <x:v>Type</x:v>
      </x:c>
      <x:c r="C5" s="150" t="str">
        <x:v>Use</x:v>
      </x:c>
      <x:c r="D5" s="150" t="str">
        <x:v>URL</x:v>
      </x:c>
      <x:c r="E5" s="130" t="str">
        <x:v>Assessment / limitation</x:v>
      </x:c>
    </x:row>
    <x:row r="6" ht="46" customHeight="1">
      <x:c r="A6" s="134" t="str">
        <x:v>Math Constants — To Be or Not To Be</x:v>
      </x:c>
      <x:c r="B6" s="134" t="str">
        <x:v>popular-science website</x:v>
      </x:c>
      <x:c r="C6" s="134" t="str">
        <x:v>Set of 12 formulas and π/φ models</x:v>
      </x:c>
      <x:c r="D6" s="418" t="str">
        <x:v>https://tobeornottobe.org/the-great-pyramid-intro/math-constants/</x:v>
      </x:c>
      <x:c r="E6" s="134" t="str">
        <x:v>Source of the hypothesis; not evidence of the builders' intent.</x:v>
      </x:c>
    </x:row>
    <x:row r="7" ht="46" customHeight="1">
      <x:c r="A7" s="138" t="str">
        <x:v>The Design of the Great Pyramid of Khufu — Bartlett 2014</x:v>
      </x:c>
      <x:c r="B7" s="138" t="str">
        <x:v>peer-reviewed paper</x:v>
      </x:c>
      <x:c r="C7" s="138" t="str">
        <x:v>Context of the seked, observed angle, and design debate</x:v>
      </x:c>
      <x:c r="D7" s="419" t="str">
        <x:v>https://doi.org/10.1007/s00004-014-0193-9</x:v>
      </x:c>
      <x:c r="E7" s="138" t="str">
        <x:v>Emphasizes the lack of a final conclusion about the intended shape.</x:v>
      </x:c>
    </x:row>
    <x:row r="8" ht="46" customHeight="1">
      <x:c r="A8" s="138" t="str">
        <x:v>A New Angle on the Great Pyramid — Glen Dash</x:v>
      </x:c>
      <x:c r="B8" s="138" t="str">
        <x:v>archaeological working paper</x:v>
      </x:c>
      <x:c r="C8" s="138" t="str">
        <x:v>History of slope and casing measurements</x:v>
      </x:c>
      <x:c r="D8" s="419" t="str">
        <x:v>https://dashfoundation.org/downloads/archaeology/working-papers/A_New_Angle_on_the_Great_Pyramid_%2812-18-2012%29.doc</x:v>
      </x:c>
      <x:c r="E8" s="138" t="str">
        <x:v>The original dimensions are reconstructed.</x:v>
      </x:c>
    </x:row>
    <x:row r="9" ht="46" customHeight="1">
      <x:c r="A9" s="138" t="str">
        <x:v>MakerWorld model 460194</x:v>
      </x:c>
      <x:c r="B9" s="138" t="str">
        <x:v>3D model</x:v>
      </x:c>
      <x:c r="C9" s="138" t="str">
        <x:v>72.0225 mm scale, 11:7 ratio, 51.843° angle</x:v>
      </x:c>
      <x:c r="D9" s="419" t="str">
        <x:v>https://makerworld.com/en/models/460194</x:v>
      </x:c>
      <x:c r="E9" s="138" t="str">
        <x:v>Model description, not a scientific publication.</x:v>
      </x:c>
    </x:row>
    <x:row r="10" ht="46" customHeight="1">
      <x:c r="A10" s="138" t="str">
        <x:v>OEIS — Index to constants</x:v>
      </x:c>
      <x:c r="B10" s="138" t="str">
        <x:v>mathematical database</x:v>
      </x:c>
      <x:c r="C10" s="138" t="str">
        <x:v>Values and identification of constants</x:v>
      </x:c>
      <x:c r="D10" s="419" t="str">
        <x:v>https://oeis.org/wiki/Index_to_constants</x:v>
      </x:c>
      <x:c r="E10" s="138" t="str">
        <x:v>Authoritative mathematical catalogue; some constants have separate entries.</x:v>
      </x:c>
    </x:row>
    <x:row r="11" ht="46" customHeight="1">
      <x:c r="A11" s="138" t="str">
        <x:v>OEIS A065421</x:v>
      </x:c>
      <x:c r="B11" s="138" t="str">
        <x:v>mathematical database</x:v>
      </x:c>
      <x:c r="C11" s="138" t="str">
        <x:v>Brun's constant B₂</x:v>
      </x:c>
      <x:c r="D11" s="419" t="str">
        <x:v>https://oeis.org/A065421</x:v>
      </x:c>
      <x:c r="E11" s="138" t="str">
        <x:v>Constant value used as the target.</x:v>
      </x:c>
    </x:row>
    <x:row r="12" ht="46" customHeight="1">
      <x:c r="A12" s="138" t="str">
        <x:v>Philip Laven — Refractive index of water</x:v>
      </x:c>
      <x:c r="B12" s="138" t="str">
        <x:v>specialist website</x:v>
      </x:c>
      <x:c r="C12" s="138" t="str">
        <x:v>n=1.33659 at 525 nm; dependence of the rainbow angle on n</x:v>
      </x:c>
      <x:c r="D12" s="419" t="str">
        <x:v>https://www.philiplaven.com/p20.html</x:v>
      </x:c>
      <x:c r="E12" s="138" t="str">
        <x:v>The optical angle also depends on temperature and the droplet model.</x:v>
      </x:c>
    </x:row>
    <x:row r="13" ht="46" customHeight="1">
      <x:c r="A13" s="420" t="str">
        <x:v>Correspondence: Michał Przybylski — Philip Laven, 2017</x:v>
      </x:c>
      <x:c r="B13" s="420" t="str">
        <x:v>private correspondence</x:v>
      </x:c>
      <x:c r="C13" s="420" t="str">
        <x:v>51.83° for the secondary rainbow near 525 nm</x:v>
      </x:c>
      <x:c r="D13" s="421" t="str">
        <x:v>(user-supplied material)</x:v>
      </x:c>
      <x:c r="E13" s="420" t="str">
        <x:v>Used solely as an optical reference, outside the mathematical ranking.</x:v>
      </x:c>
    </x:row>
    <x:row r="14" ht="46" customHeight="1">
      <x:c r="A14" s="568" t="str">
        <x:v>YouTube — Hyperbolic cone Golden Φ Egg</x:v>
      </x:c>
      <x:c r="B14" s="568" t="str">
        <x:v>Video / description / code</x:v>
      </x:c>
      <x:c r="C14" s="568" t="str">
        <x:v>Angle α=51.84°, Z0=7.65 and Blender code</x:v>
      </x:c>
      <x:c r="D14" s="568" t="str">
        <x:v>https://www.youtube.com/watch?v=GjMvULldjD0</x:v>
      </x:c>
      <x:c r="E14" s="568" t="str">
        <x:v>Not peer-reviewed; the term “hyperbolic cone” is used informally.</x:v>
      </x:c>
    </x:row>
    <x:row r="15" ht="46" customHeight="1">
      <x:c r="A15" s="569" t="str">
        <x:v>Christian Lange — The golden angle</x:v>
      </x:c>
      <x:c r="B15" s="569" t="str">
        <x:v>Technical/popular article</x:v>
      </x:c>
      <x:c r="C15" s="569" t="str">
        <x:v>Harthun–Rennert equation z=1/r and reported egg dimensions</x:v>
      </x:c>
      <x:c r="D15" s="569" t="str">
        <x:v>https://www.sectioaurea.com/sectioaurea/the_golden_angle.htm</x:v>
      </x:c>
      <x:c r="E15" s="569" t="str">
        <x:v>Parameters are rounded; energy-related claims are not scientific evidence.</x:v>
      </x:c>
    </x:row>
    <x:row r="16" ht="46" customHeight="1">
      <x:c r="A16" s="568" t="str">
        <x:v>Blender source files / OneDrive</x:v>
      </x:c>
      <x:c r="B16" s="568" t="str">
        <x:v>Source code and models</x:v>
      </x:c>
      <x:c r="C16" s="568" t="str">
        <x:v>Documents the actual z=1/r² equation used in the animation</x:v>
      </x:c>
      <x:c r="D16" s="568" t="str">
        <x:v>https://1drv.ms/u/s!AlaVaqvYVmW2j1hXV7QziZk6kjY8?e=LGsWMN</x:v>
      </x:c>
      <x:c r="E16" s="568" t="str">
        <x:v>The code equation differs from the article's z=1/r equation.</x:v>
      </x:c>
    </x:row>
    <x:row r="17" ht="46" customHeight="1">
      <x:c r="A17" s="569" t="str">
        <x:v>Jim Lyons — The Ubiquitous Ovoid</x:v>
      </x:c>
      <x:c r="B17" s="569" t="str">
        <x:v>Historical/popular source</x:v>
      </x:c>
      <x:c r="C17" s="569" t="str">
        <x:v>Alternative Golden Egg definitions, including a 45° variant</x:v>
      </x:c>
      <x:c r="D17" s="569" t="str">
        <x:v>https://britishdowsing.net/the-ubiquitous-ovoid/</x:v>
      </x:c>
      <x:c r="E17" s="569" t="str">
        <x:v>Dowsing-oriented material; not scientific confirmation.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bbe5095b70694d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2" hidden="0" customWidth="1"/>
    <x:col min="4" max="4" width="22" hidden="0" customWidth="1"/>
    <x:col min="5" max="5" width="15" hidden="0" customWidth="1"/>
    <x:col min="6" max="6" width="15" hidden="0" customWidth="1"/>
    <x:col min="7" max="7" width="3" hidden="0" customWidth="1"/>
    <x:col min="8" max="8" width="21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4" hidden="0" customWidth="1"/>
    <x:col min="18" max="18" width="16" hidden="0" customWidth="1"/>
    <x:col min="19" max="19" width="3" hidden="0" customWidth="1"/>
    <x:col min="20" max="20" width="3" hidden="0" customWidth="1"/>
  </x:cols>
  <x:sheetData>
    <x:row r="1" ht="32" customHeight="1">
      <x:c r="A1" s="444" t="str">
        <x:v>Golden Φ Egg — surface, section and equivalent-pyramid geometry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  <x:c r="L1" s="444"/>
      <x:c r="M1" s="444"/>
      <x:c r="N1" s="444"/>
      <x:c r="O1" s="444"/>
      <x:c r="P1" s="444"/>
      <x:c r="Q1" s="444"/>
      <x:c r="R1" s="444"/>
      <x:c r="S1" s="444"/>
      <x:c r="T1" s="444"/>
    </x:row>
    <x:row r="2">
      <x:c r="A2" s="430"/>
      <x:c r="B2" s="430"/>
      <x:c r="C2" s="430"/>
      <x:c r="D2" s="430"/>
      <x:c r="E2" s="430"/>
      <x:c r="F2" s="430"/>
      <x:c r="G2" s="430"/>
      <x:c r="H2" s="430"/>
      <x:c r="I2" s="430"/>
      <x:c r="J2" s="430"/>
      <x:c r="K2" s="430"/>
      <x:c r="L2" s="430"/>
      <x:c r="M2" s="430"/>
      <x:c r="N2" s="430"/>
      <x:c r="O2" s="430"/>
      <x:c r="P2" s="430"/>
      <x:c r="Q2" s="430"/>
      <x:c r="R2" s="430"/>
      <x:c r="S2" s="430"/>
      <x:c r="T2" s="430"/>
    </x:row>
    <x:row r="3" ht="42" customHeight="1">
      <x:c r="A3" s="448" t="str">
        <x:v>Two comparative models: (A) a classical cone with prescribed generator angle αg=51.84° and (B) Golden Φ Egg, whose angle αp is numerically solved from the exact condition L/W=φ at Z0=7.65.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>
      <x:c r="A4" s="430"/>
      <x:c r="B4" s="430"/>
      <x:c r="C4" s="430"/>
      <x:c r="D4" s="430"/>
      <x:c r="E4" s="430"/>
      <x:c r="F4" s="430"/>
      <x:c r="G4" s="430"/>
      <x:c r="H4" s="430"/>
      <x:c r="I4" s="430"/>
      <x:c r="J4" s="430"/>
      <x:c r="K4" s="430"/>
      <x:c r="L4" s="430"/>
      <x:c r="M4" s="430"/>
      <x:c r="N4" s="430"/>
      <x:c r="O4" s="430"/>
      <x:c r="P4" s="430"/>
      <x:c r="Q4" s="430"/>
      <x:c r="R4" s="430"/>
      <x:c r="S4" s="430"/>
      <x:c r="T4" s="430"/>
    </x:row>
    <x:row r="5">
      <x:c r="A5" s="454" t="str">
        <x:v>SOURCE PARAMETERS</x:v>
      </x:c>
      <x:c r="B5" s="454"/>
      <x:c r="C5" s="430"/>
      <x:c r="D5" s="454" t="str">
        <x:v>EQUIVALENT PYRAMID</x:v>
      </x:c>
      <x:c r="E5" s="454"/>
      <x:c r="F5" s="454"/>
      <x:c r="G5" s="430"/>
      <x:c r="H5" s="454" t="str">
        <x:v>KEY ANGLE DISTINCTION</x:v>
      </x:c>
      <x:c r="I5" s="454"/>
      <x:c r="J5" s="454"/>
      <x:c r="K5" s="454"/>
      <x:c r="L5" s="454"/>
      <x:c r="M5" s="454"/>
      <x:c r="N5" s="454"/>
      <x:c r="O5" s="454"/>
      <x:c r="P5" s="454"/>
      <x:c r="Q5" s="454" t="str">
        <x:v>HELPER CALCULATIONS — AUDIT</x:v>
      </x:c>
      <x:c r="R5" s="454"/>
      <x:c r="S5" s="454"/>
      <x:c r="T5" s="454"/>
    </x:row>
    <x:row r="6" ht="24" customHeight="1">
      <x:c r="A6" s="503" t="str">
        <x:v>Solved Golden Egg angle αp [°]</x:v>
      </x:c>
      <x:c r="B6" s="476" t="n">
        <x:v>51.79531925589765</x:v>
      </x:c>
      <x:c r="C6" s="430"/>
      <x:c r="D6" s="503" t="str">
        <x:v>Cone: B/H</x:v>
      </x:c>
      <x:c r="E6" s="481" t="n">
        <x:f>2/TAN(RADIANS($B$11))</x:f>
        <x:v>1.571585153329536</x:v>
      </x:c>
      <x:c r="F6" s="455"/>
      <x:c r="G6" s="430"/>
      <x:c r="H6" s="494" t="str">
        <x:v>MODEL A — CLASSICAL CONE: αg=51.84° is a prescribed constant angle of a straight generator. MODEL B — GOLDEN Φ EGG: for the Harthun–Rennert surface z=1/r at Z0=7.65, solving L/W=φ gives αp=51.795319256°. Only this solved angle drives the equivalent pyramid and constant-error calculations. The 51.84° value is not used as the Golden Egg angle. The Blender z=1/r² variant remains a code comparison only.</x:v>
      </x:c>
      <x:c r="I6" s="494"/>
      <x:c r="J6" s="494"/>
      <x:c r="K6" s="494"/>
      <x:c r="L6" s="494"/>
      <x:c r="M6" s="494"/>
      <x:c r="N6" s="494"/>
      <x:c r="O6" s="494"/>
      <x:c r="P6" s="494"/>
      <x:c r="Q6" s="501" t="str">
        <x:v>s=sinα</x:v>
      </x:c>
      <x:c r="R6" s="502" t="n">
        <x:f>SIN($B$7)</x:f>
        <x:v>0.7858063700527056</x:v>
      </x:c>
      <x:c r="S6" s="430"/>
      <x:c r="T6" s="430"/>
    </x:row>
    <x:row r="7" ht="24" customHeight="1">
      <x:c r="A7" s="503" t="str">
        <x:v>Angle αp [rad]</x:v>
      </x:c>
      <x:c r="B7" s="477" t="n">
        <x:f>RADIANS(B6)</x:f>
        <x:v>0.9039988581370335</x:v>
      </x:c>
      <x:c r="C7" s="430"/>
      <x:c r="D7" s="503" t="str">
        <x:v>Cut: B/H</x:v>
      </x:c>
      <x:c r="E7" s="481" t="n">
        <x:f>2/TAN(RADIANS($B$6))</x:f>
        <x:v>1.574109391240066</x:v>
      </x:c>
      <x:c r="F7" s="455"/>
      <x:c r="G7" s="430"/>
      <x:c r="H7" s="494"/>
      <x:c r="I7" s="494"/>
      <x:c r="J7" s="494"/>
      <x:c r="K7" s="494"/>
      <x:c r="L7" s="494"/>
      <x:c r="M7" s="494"/>
      <x:c r="N7" s="494"/>
      <x:c r="O7" s="494"/>
      <x:c r="P7" s="494"/>
      <x:c r="Q7" s="501" t="str">
        <x:v>c=cosα</x:v>
      </x:c>
      <x:c r="R7" s="502" t="n">
        <x:f>COS($B$7)</x:f>
        <x:v>0.6184725933981152</x:v>
      </x:c>
      <x:c r="S7" s="430"/>
      <x:c r="T7" s="430"/>
    </x:row>
    <x:row r="8" ht="24" customHeight="1">
      <x:c r="A8" s="503" t="str">
        <x:v>Z0</x:v>
      </x:c>
      <x:c r="B8" s="474" t="n">
        <x:v>7.65</x:v>
      </x:c>
      <x:c r="C8" s="430"/>
      <x:c r="D8" s="503" t="str">
        <x:v>B/H difference</x:v>
      </x:c>
      <x:c r="E8" s="481" t="n">
        <x:f>ABS(E6-E7)</x:f>
        <x:v>0.002524237910530136</x:v>
      </x:c>
      <x:c r="F8" s="455"/>
      <x:c r="G8" s="430"/>
      <x:c r="H8" s="494"/>
      <x:c r="I8" s="494"/>
      <x:c r="J8" s="494"/>
      <x:c r="K8" s="494"/>
      <x:c r="L8" s="494"/>
      <x:c r="M8" s="494"/>
      <x:c r="N8" s="494"/>
      <x:c r="O8" s="494"/>
      <x:c r="P8" s="494"/>
      <x:c r="Q8" s="501" t="str">
        <x:v>cubic a</x:v>
      </x:c>
      <x:c r="R8" s="502" t="n">
        <x:f>-$B$8/R6</x:f>
        <x:v>-9.735222685312285</x:v>
      </x:c>
      <x:c r="S8" s="430"/>
      <x:c r="T8" s="430"/>
    </x:row>
    <x:row r="9" ht="24" customHeight="1">
      <x:c r="A9" s="503" t="str">
        <x:v>Exact φ</x:v>
      </x:c>
      <x:c r="B9" s="477" t="n">
        <x:f>(1+SQRT(5))/2</x:f>
        <x:v>1.618033988749895</x:v>
      </x:c>
      <x:c r="C9" s="430"/>
      <x:c r="D9" s="503" t="str">
        <x:v>Cone: height H [mm]</x:v>
      </x:c>
      <x:c r="E9" s="481" t="n">
        <x:f>$B$10/E6</x:f>
        <x:v>45.827933565937705</x:v>
      </x:c>
      <x:c r="F9" s="455"/>
      <x:c r="G9" s="430"/>
      <x:c r="H9" s="494"/>
      <x:c r="I9" s="494"/>
      <x:c r="J9" s="494"/>
      <x:c r="K9" s="494"/>
      <x:c r="L9" s="494"/>
      <x:c r="M9" s="494"/>
      <x:c r="N9" s="494"/>
      <x:c r="O9" s="494"/>
      <x:c r="P9" s="494"/>
      <x:c r="Q9" s="501" t="str">
        <x:v>cubic p</x:v>
      </x:c>
      <x:c r="R9" s="502" t="n">
        <x:f>-(R8^2)/3</x:f>
        <x:v>-31.59152024420632</x:v>
      </x:c>
      <x:c r="S9" s="430"/>
      <x:c r="T9" s="430"/>
    </x:row>
    <x:row r="10" ht="24" customHeight="1">
      <x:c r="A10" s="503" t="str">
        <x:v>Pyramid base B [mm]</x:v>
      </x:c>
      <x:c r="B10" s="478" t="n">
        <x:f>'00_Start'!$B$6</x:f>
        <x:v>72.0225</x:v>
      </x:c>
      <x:c r="C10" s="430"/>
      <x:c r="D10" s="503" t="str">
        <x:v>Cut: height H [mm]</x:v>
      </x:c>
      <x:c r="E10" s="481" t="n">
        <x:f>$B$10/E7</x:f>
        <x:v>45.754444005483926</x:v>
      </x:c>
      <x:c r="F10" s="455"/>
      <x:c r="G10" s="430"/>
      <x:c r="H10" s="494"/>
      <x:c r="I10" s="494"/>
      <x:c r="J10" s="494"/>
      <x:c r="K10" s="494"/>
      <x:c r="L10" s="494"/>
      <x:c r="M10" s="494"/>
      <x:c r="N10" s="494"/>
      <x:c r="O10" s="494"/>
      <x:c r="P10" s="494"/>
      <x:c r="Q10" s="501" t="str">
        <x:v>cubic d</x:v>
      </x:c>
      <x:c r="R10" s="502" t="n">
        <x:f>1/(R6*R7^2)</x:f>
        <x:v>3.3269290274122727</x:v>
      </x:c>
      <x:c r="S10" s="430"/>
      <x:c r="T10" s="430"/>
    </x:row>
    <x:row r="11" ht="24" customHeight="1">
      <x:c r="A11" s="503" t="str">
        <x:v>Cone generator angle αg [°]</x:v>
      </x:c>
      <x:c r="B11" s="480" t="n">
        <x:v>51.84</x:v>
      </x:c>
      <x:c r="C11" s="430"/>
      <x:c r="D11" s="503" t="str">
        <x:v>S/A</x:v>
      </x:c>
      <x:c r="E11" s="481" t="n">
        <x:f>SQRT(E9^2+($B$10/2)^2)/($B$10/2)</x:f>
        <x:v>1.6184906389953584</x:v>
      </x:c>
      <x:c r="F11" s="455"/>
      <x:c r="G11" s="430"/>
      <x:c r="H11" s="494"/>
      <x:c r="I11" s="494"/>
      <x:c r="J11" s="494"/>
      <x:c r="K11" s="494"/>
      <x:c r="L11" s="494"/>
      <x:c r="M11" s="494"/>
      <x:c r="N11" s="494"/>
      <x:c r="O11" s="494"/>
      <x:c r="P11" s="494"/>
      <x:c r="Q11" s="501" t="str">
        <x:v>cubic q</x:v>
      </x:c>
      <x:c r="R11" s="502" t="n">
        <x:f>2*R8^3/27+R10</x:f>
        <x:v>-65.01762309367653</x:v>
      </x:c>
      <x:c r="S11" s="430"/>
      <x:c r="T11" s="430"/>
    </x:row>
    <x:row r="12" ht="24" customHeight="1">
      <x:c r="A12" s="504" t="str">
        <x:v>Check |L/W−φ|</x:v>
      </x:c>
      <x:c r="B12" s="461" t="n">
        <x:f>ABS($R$25-B9)</x:f>
        <x:v>2.4424906541753444e-15</x:v>
      </x:c>
      <x:c r="C12" s="430"/>
      <x:c r="D12" s="503" t="str">
        <x:v>Cone matches</x:v>
      </x:c>
      <x:c r="E12" s="482" t="n">
        <x:f>'03_12_Errors'!AF11</x:f>
        <x:v>12</x:v>
      </x:c>
      <x:c r="F12" s="455"/>
      <x:c r="G12" s="430"/>
      <x:c r="H12" s="494"/>
      <x:c r="I12" s="494"/>
      <x:c r="J12" s="494"/>
      <x:c r="K12" s="494"/>
      <x:c r="L12" s="494"/>
      <x:c r="M12" s="494"/>
      <x:c r="N12" s="494"/>
      <x:c r="O12" s="494"/>
      <x:c r="P12" s="494"/>
      <x:c r="Q12" s="501" t="str">
        <x:v>cubic θ</x:v>
      </x:c>
      <x:c r="R12" s="502" t="n">
        <x:f>ACOS((3*R11/(2*R9))*SQRT(-3/R9))/3</x:f>
        <x:v>0.10443383848315278</x:v>
      </x:c>
      <x:c r="S12" s="430"/>
      <x:c r="T12" s="430"/>
    </x:row>
    <x:row r="13">
      <x:c r="A13" s="430"/>
      <x:c r="B13" s="430"/>
      <x:c r="C13" s="430"/>
      <x:c r="D13" s="504" t="str">
        <x:v>Cut matches</x:v>
      </x:c>
      <x:c r="E13" s="483" t="n">
        <x:f>'03_12_Errors'!AF12</x:f>
        <x:v>9</x:v>
      </x:c>
      <x:c r="F13" s="460"/>
      <x:c r="G13" s="430"/>
      <x:c r="H13" s="430"/>
      <x:c r="I13" s="430"/>
      <x:c r="J13" s="430"/>
      <x:c r="K13" s="430"/>
      <x:c r="L13" s="430"/>
      <x:c r="M13" s="430"/>
      <x:c r="N13" s="430"/>
      <x:c r="O13" s="430"/>
      <x:c r="P13" s="430"/>
      <x:c r="Q13" s="501" t="str">
        <x:v>root 1</x:v>
      </x:c>
      <x:c r="R13" s="502" t="n">
        <x:f>2*SQRT(-R9/3)*COS(R12)-R8/3</x:f>
        <x:v>9.699862676507015</x:v>
      </x:c>
      <x:c r="S13" s="430"/>
      <x:c r="T13" s="430"/>
    </x:row>
    <x:row r="14">
      <x:c r="A14" s="430"/>
      <x:c r="B14" s="430"/>
      <x:c r="C14" s="430"/>
      <x:c r="D14" s="430"/>
      <x:c r="E14" s="430"/>
      <x:c r="F14" s="430"/>
      <x:c r="G14" s="430"/>
      <x:c r="H14" s="430"/>
      <x:c r="I14" s="430"/>
      <x:c r="J14" s="430"/>
      <x:c r="K14" s="430"/>
      <x:c r="L14" s="430"/>
      <x:c r="M14" s="430"/>
      <x:c r="N14" s="430"/>
      <x:c r="O14" s="430"/>
      <x:c r="P14" s="430"/>
      <x:c r="Q14" s="501" t="str">
        <x:v>root 2</x:v>
      </x:c>
      <x:c r="R14" s="502" t="n">
        <x:f>2*SQRT(-R9/3)*COS(R12-2*PI()/3)-R8/3</x:f>
        <x:v>0.6035979271587881</x:v>
      </x:c>
      <x:c r="S14" s="430"/>
      <x:c r="T14" s="430"/>
    </x:row>
    <x:row r="15">
      <x:c r="A15" s="454" t="str">
        <x:v>HARTHUN–RENNERT / ARTICLE MODEL — p=1</x:v>
      </x:c>
      <x:c r="B15" s="454"/>
      <x:c r="C15" s="454"/>
      <x:c r="D15" s="454"/>
      <x:c r="E15" s="454"/>
      <x:c r="F15" s="454"/>
      <x:c r="G15" s="430"/>
      <x:c r="H15" s="454" t="str">
        <x:v>VIDEO BLENDER SCRIPT — p=2</x:v>
      </x:c>
      <x:c r="I15" s="454"/>
      <x:c r="J15" s="454"/>
      <x:c r="K15" s="454"/>
      <x:c r="L15" s="454"/>
      <x:c r="M15" s="454"/>
      <x:c r="N15" s="430"/>
      <x:c r="O15" s="430"/>
      <x:c r="P15" s="430"/>
      <x:c r="Q15" s="501" t="str">
        <x:v>root 3</x:v>
      </x:c>
      <x:c r="R15" s="502" t="n">
        <x:f>2*SQRT(-R9/3)*COS(R12-4*PI()/3)-R8/3</x:f>
        <x:v>-0.568237918353518</x:v>
      </x:c>
      <x:c r="S15" s="430"/>
      <x:c r="T15" s="430"/>
    </x:row>
    <x:row r="16">
      <x:c r="A16" s="503" t="str">
        <x:v>Surface of revolution</x:v>
      </x:c>
      <x:c r="B16" s="484" t="str">
        <x:v>z=1/r, r=√(x²+y²); meridian section rz=1</x:v>
      </x:c>
      <x:c r="C16" s="455"/>
      <x:c r="D16" s="455"/>
      <x:c r="E16" s="455"/>
      <x:c r="F16" s="455"/>
      <x:c r="G16" s="430"/>
      <x:c r="H16" s="503" t="str">
        <x:v>Surface used in code</x:v>
      </x:c>
      <x:c r="I16" s="484" t="str">
        <x:v>z=1/r² = 1/(x²+y²); not the same model as the article</x:v>
      </x:c>
      <x:c r="J16" s="455"/>
      <x:c r="K16" s="455"/>
      <x:c r="L16" s="455"/>
      <x:c r="M16" s="455"/>
      <x:c r="N16" s="430"/>
      <x:c r="O16" s="430"/>
      <x:c r="P16" s="430"/>
      <x:c r="Q16" s="501" t="str">
        <x:v>p=1 v−</x:v>
      </x:c>
      <x:c r="R16" s="502" t="n">
        <x:f>(R7*$B$8-SQRT((R7*$B$8)^2+4*R7*R6))/(2*R7*R6)</x:f>
        <x:v>-0.20695805846449575</x:v>
      </x:c>
      <x:c r="S16" s="430"/>
      <x:c r="T16" s="430"/>
    </x:row>
    <x:row r="17">
      <x:c r="A17" s="503" t="str">
        <x:v>Parameterization</x:v>
      </x:c>
      <x:c r="B17" s="484" t="str">
        <x:v>X=r cosθ; Y=r sinθ; Z=1/r</x:v>
      </x:c>
      <x:c r="C17" s="455"/>
      <x:c r="D17" s="455"/>
      <x:c r="E17" s="455"/>
      <x:c r="F17" s="455"/>
      <x:c r="G17" s="430"/>
      <x:c r="H17" s="503" t="str">
        <x:v>Parameterization</x:v>
      </x:c>
      <x:c r="I17" s="484" t="str">
        <x:v>X=r cosθ; Y=r sinθ; Z=1/r²</x:v>
      </x:c>
      <x:c r="J17" s="455"/>
      <x:c r="K17" s="455"/>
      <x:c r="L17" s="455"/>
      <x:c r="M17" s="455"/>
      <x:c r="N17" s="430"/>
      <x:c r="O17" s="430"/>
      <x:c r="P17" s="430"/>
      <x:c r="Q17" s="501" t="str">
        <x:v>p=1 v+</x:v>
      </x:c>
      <x:c r="R17" s="502" t="n">
        <x:f>(R7*$B$8-SQRT((R7*$B$8)^2-4*R7*R6))/(2*R7*R6)</x:f>
        <x:v>0.21615718728498606</x:v>
      </x:c>
      <x:c r="S17" s="430"/>
      <x:c r="T17" s="430"/>
    </x:row>
    <x:row r="18">
      <x:c r="A18" s="503" t="str">
        <x:v>Cutting plane</x:v>
      </x:c>
      <x:c r="B18" s="484" t="str">
        <x:v>sinα·Y + cosα·(Z−Z0)=0</x:v>
      </x:c>
      <x:c r="C18" s="455"/>
      <x:c r="D18" s="455"/>
      <x:c r="E18" s="455"/>
      <x:c r="F18" s="455"/>
      <x:c r="G18" s="430"/>
      <x:c r="H18" s="503" t="str">
        <x:v>Cutting plane</x:v>
      </x:c>
      <x:c r="I18" s="484" t="str">
        <x:v>sinα·Y + cosα·(Z−Z0)=0</x:v>
      </x:c>
      <x:c r="J18" s="455"/>
      <x:c r="K18" s="455"/>
      <x:c r="L18" s="455"/>
      <x:c r="M18" s="455"/>
      <x:c r="N18" s="430"/>
      <x:c r="O18" s="430"/>
      <x:c r="P18" s="430"/>
      <x:c r="Q18" s="501" t="str">
        <x:v>p=2 v−</x:v>
      </x:c>
      <x:c r="R18" s="502" t="n">
        <x:f>MIN(R13:R15)</x:f>
        <x:v>-0.568237918353518</x:v>
      </x:c>
      <x:c r="S18" s="430"/>
      <x:c r="T18" s="430"/>
    </x:row>
    <x:row r="19">
      <x:c r="A19" s="503" t="str">
        <x:v>Intersection equation</x:v>
      </x:c>
      <x:c r="B19" s="484" t="str">
        <x:v>(Z0−v sinα)·√(u²+v²cos²α)=1</x:v>
      </x:c>
      <x:c r="C19" s="455"/>
      <x:c r="D19" s="455"/>
      <x:c r="E19" s="455"/>
      <x:c r="F19" s="455"/>
      <x:c r="G19" s="430"/>
      <x:c r="H19" s="503" t="str">
        <x:v>Intersection equation</x:v>
      </x:c>
      <x:c r="I19" s="484" t="str">
        <x:v>(Z0−v sinα)·(u²+v²cos²α)=1</x:v>
      </x:c>
      <x:c r="J19" s="455"/>
      <x:c r="K19" s="455"/>
      <x:c r="L19" s="455"/>
      <x:c r="M19" s="455"/>
      <x:c r="N19" s="430"/>
      <x:c r="O19" s="430"/>
      <x:c r="P19" s="430"/>
      <x:c r="Q19" s="501" t="str">
        <x:v>p=2 v+</x:v>
      </x:c>
      <x:c r="R19" s="502" t="n">
        <x:f>MEDIAN(R13:R15)</x:f>
        <x:v>0.6035979271587881</x:v>
      </x:c>
      <x:c r="S19" s="430"/>
      <x:c r="T19" s="430"/>
    </x:row>
    <x:row r="20">
      <x:c r="A20" s="503" t="str">
        <x:v>Reported length</x:v>
      </x:c>
      <x:c r="B20" s="481" t="n">
        <x:v>0.423584</x:v>
      </x:c>
      <x:c r="C20" s="455"/>
      <x:c r="D20" s="455"/>
      <x:c r="E20" s="455"/>
      <x:c r="F20" s="455"/>
      <x:c r="G20" s="430"/>
      <x:c r="H20" s="503" t="str">
        <x:v>Calculated length</x:v>
      </x:c>
      <x:c r="I20" s="481" t="n">
        <x:f>$R$24</x:f>
        <x:v>1.1718358455123061</x:v>
      </x:c>
      <x:c r="J20" s="455"/>
      <x:c r="K20" s="455"/>
      <x:c r="L20" s="455"/>
      <x:c r="M20" s="455"/>
      <x:c r="N20" s="430"/>
      <x:c r="O20" s="430"/>
      <x:c r="P20" s="430"/>
      <x:c r="Q20" s="501" t="str">
        <x:v>p=2 third root</x:v>
      </x:c>
      <x:c r="R20" s="502" t="n">
        <x:f>MAX(R13:R15)</x:f>
        <x:v>9.699862676507015</x:v>
      </x:c>
      <x:c r="S20" s="430"/>
      <x:c r="T20" s="430"/>
    </x:row>
    <x:row r="21">
      <x:c r="A21" s="503" t="str">
        <x:v>Reported width</x:v>
      </x:c>
      <x:c r="B21" s="481" t="n">
        <x:v>0.261789</x:v>
      </x:c>
      <x:c r="C21" s="455"/>
      <x:c r="D21" s="455"/>
      <x:c r="E21" s="455"/>
      <x:c r="F21" s="455"/>
      <x:c r="G21" s="430"/>
      <x:c r="H21" s="503" t="str">
        <x:v>Calculated width</x:v>
      </x:c>
      <x:c r="I21" s="481" t="n">
        <x:f>$R$22</x:f>
        <x:v>0.7234285524606325</x:v>
      </x:c>
      <x:c r="J21" s="455"/>
      <x:c r="K21" s="455"/>
      <x:c r="L21" s="455"/>
      <x:c r="M21" s="455"/>
      <x:c r="N21" s="430"/>
      <x:c r="O21" s="430"/>
      <x:c r="P21" s="430"/>
      <x:c r="Q21" s="501" t="str">
        <x:v>p=1 exact width</x:v>
      </x:c>
      <x:c r="R21" s="502" t="n">
        <x:f>2*SQRT(1/($B$8-$R$27*$R$6)^2-$R$27^2*$R$7^2)</x:f>
        <x:v>0.2614996030314438</x:v>
      </x:c>
      <x:c r="S21" s="430"/>
      <x:c r="T21" s="430"/>
    </x:row>
    <x:row r="22">
      <x:c r="A22" s="503" t="str">
        <x:v>Reported L/W</x:v>
      </x:c>
      <x:c r="B22" s="481" t="n">
        <x:f>B20/B21</x:f>
        <x:v>1.6180358991401473</x:v>
      </x:c>
      <x:c r="C22" s="455"/>
      <x:c r="D22" s="455"/>
      <x:c r="E22" s="455"/>
      <x:c r="F22" s="455"/>
      <x:c r="G22" s="430"/>
      <x:c r="H22" s="503" t="str">
        <x:v>Calculated L/W</x:v>
      </x:c>
      <x:c r="I22" s="481" t="n">
        <x:f>$R$26</x:f>
        <x:v>1.6198363218129617</x:v>
      </x:c>
      <x:c r="J22" s="455"/>
      <x:c r="K22" s="455"/>
      <x:c r="L22" s="455"/>
      <x:c r="M22" s="455"/>
      <x:c r="N22" s="430"/>
      <x:c r="O22" s="430"/>
      <x:c r="P22" s="430"/>
      <x:c r="Q22" s="501" t="str">
        <x:v>p=2 width</x:v>
      </x:c>
      <x:c r="R22" s="502" t="n">
        <x:f>2*MAX(I58:I98)</x:f>
        <x:v>0.7234285524606325</x:v>
      </x:c>
      <x:c r="S22" s="430"/>
      <x:c r="T22" s="430"/>
    </x:row>
    <x:row r="23">
      <x:c r="A23" s="503" t="str">
        <x:v>L/W — exact solution</x:v>
      </x:c>
      <x:c r="B23" s="481" t="n">
        <x:f>$R$25</x:f>
        <x:v>1.6180339887498973</x:v>
      </x:c>
      <x:c r="C23" s="455"/>
      <x:c r="D23" s="455"/>
      <x:c r="E23" s="455"/>
      <x:c r="F23" s="455"/>
      <x:c r="G23" s="430"/>
      <x:c r="H23" s="503" t="str">
        <x:v>L/W difference from φ</x:v>
      </x:c>
      <x:c r="I23" s="486" t="n">
        <x:f>ABS(I22-$B$9)/$B$9</x:f>
        <x:v>0.0011139030920229674</x:v>
      </x:c>
      <x:c r="J23" s="455"/>
      <x:c r="K23" s="455"/>
      <x:c r="L23" s="455"/>
      <x:c r="M23" s="455"/>
      <x:c r="N23" s="430"/>
      <x:c r="O23" s="430"/>
      <x:c r="P23" s="430"/>
      <x:c r="Q23" s="501" t="str">
        <x:v>p=1 length</x:v>
      </x:c>
      <x:c r="R23" s="502" t="n">
        <x:f>R17-R16</x:f>
        <x:v>0.4231152457494818</x:v>
      </x:c>
      <x:c r="S23" s="430"/>
      <x:c r="T23" s="430"/>
    </x:row>
    <x:row r="24">
      <x:c r="A24" s="504" t="str">
        <x:v>Local tangent angle at r=1/Z0</x:v>
      </x:c>
      <x:c r="B24" s="485" t="n">
        <x:f>DEGREES(ATAN($B$8^2))</x:f>
        <x:v>89.021056788966</x:v>
      </x:c>
      <x:c r="C24" s="460"/>
      <x:c r="D24" s="460"/>
      <x:c r="E24" s="460"/>
      <x:c r="F24" s="460"/>
      <x:c r="G24" s="430"/>
      <x:c r="H24" s="504" t="str">
        <x:v>Local tangent angle at r=1/√Z0</x:v>
      </x:c>
      <x:c r="I24" s="485" t="n">
        <x:f>DEGREES(ATAN(2*$B$8^(3/2)))</x:f>
        <x:v>88.64630861519754</x:v>
      </x:c>
      <x:c r="J24" s="460"/>
      <x:c r="K24" s="460"/>
      <x:c r="L24" s="460"/>
      <x:c r="M24" s="460"/>
      <x:c r="N24" s="430"/>
      <x:c r="O24" s="430"/>
      <x:c r="P24" s="430"/>
      <x:c r="Q24" s="501" t="str">
        <x:v>p=2 length</x:v>
      </x:c>
      <x:c r="R24" s="502" t="n">
        <x:f>R19-R18</x:f>
        <x:v>1.1718358455123061</x:v>
      </x:c>
      <x:c r="S24" s="430"/>
      <x:c r="T24" s="430"/>
    </x:row>
    <x:row r="25">
      <x:c r="A25" s="430"/>
      <x:c r="B25" s="430"/>
      <x:c r="C25" s="430"/>
      <x:c r="D25" s="430"/>
      <x:c r="E25" s="430"/>
      <x:c r="F25" s="430"/>
      <x:c r="G25" s="430"/>
      <x:c r="H25" s="430"/>
      <x:c r="I25" s="430"/>
      <x:c r="J25" s="430"/>
      <x:c r="K25" s="430"/>
      <x:c r="L25" s="430"/>
      <x:c r="M25" s="430"/>
      <x:c r="N25" s="430"/>
      <x:c r="O25" s="430"/>
      <x:c r="P25" s="430"/>
      <x:c r="Q25" s="501" t="str">
        <x:v>p=1 L/W</x:v>
      </x:c>
      <x:c r="R25" s="502" t="n">
        <x:f>R23/R21</x:f>
        <x:v>1.6180339887498973</x:v>
      </x:c>
      <x:c r="S25" s="430"/>
      <x:c r="T25" s="430"/>
    </x:row>
    <x:row r="26">
      <x:c r="A26" s="430"/>
      <x:c r="B26" s="430"/>
      <x:c r="C26" s="430"/>
      <x:c r="D26" s="430"/>
      <x:c r="E26" s="430"/>
      <x:c r="F26" s="430"/>
      <x:c r="G26" s="430"/>
      <x:c r="H26" s="430"/>
      <x:c r="I26" s="430"/>
      <x:c r="J26" s="430"/>
      <x:c r="K26" s="430"/>
      <x:c r="L26" s="430"/>
      <x:c r="M26" s="430"/>
      <x:c r="N26" s="430"/>
      <x:c r="O26" s="430"/>
      <x:c r="P26" s="430"/>
      <x:c r="Q26" s="501" t="str">
        <x:v>p=2 L/W</x:v>
      </x:c>
      <x:c r="R26" s="502" t="n">
        <x:f>R24/R22</x:f>
        <x:v>1.6198363218129617</x:v>
      </x:c>
      <x:c r="S26" s="430"/>
      <x:c r="T26" s="430"/>
    </x:row>
    <x:row r="27">
      <x:c r="A27" s="454" t="str">
        <x:v>IDEAL GOLDEN ELLIPSOID — φ:1:1 REFERENCE</x:v>
      </x:c>
      <x:c r="B27" s="454"/>
      <x:c r="C27" s="454"/>
      <x:c r="D27" s="454"/>
      <x:c r="E27" s="454"/>
      <x:c r="F27" s="454"/>
      <x:c r="G27" s="430"/>
      <x:c r="H27" s="454" t="str">
        <x:v>METHODOLOGICAL CONCLUSIONS</x:v>
      </x:c>
      <x:c r="I27" s="454"/>
      <x:c r="J27" s="454"/>
      <x:c r="K27" s="454"/>
      <x:c r="L27" s="454"/>
      <x:c r="M27" s="454"/>
      <x:c r="N27" s="454"/>
      <x:c r="O27" s="454"/>
      <x:c r="P27" s="454"/>
      <x:c r="Q27" s="501" t="str">
        <x:v>p=1 v at max width</x:v>
      </x:c>
      <x:c r="R27" s="502" t="n">
        <x:v>0.00459521093768915</x:v>
      </x:c>
      <x:c r="S27" s="430"/>
      <x:c r="T27" s="430"/>
    </x:row>
    <x:row r="28" ht="24" customHeight="1">
      <x:c r="A28" s="503" t="str">
        <x:v>Semiaxes (a,b,c)</x:v>
      </x:c>
      <x:c r="B28" s="484" t="str">
        <x:v>(φ/2, 1/2, 1/2)</x:v>
      </x:c>
      <x:c r="C28" s="455"/>
      <x:c r="D28" s="455"/>
      <x:c r="E28" s="455"/>
      <x:c r="F28" s="455"/>
      <x:c r="G28" s="430"/>
      <x:c r="H28" s="494" t="str">
        <x:v>1) The primary Golden Φ Egg uses the Harthun–Rennert equation z=1/r. 2) At fixed Z0=7.65, solving the exact condition L/W=φ gives αp=51.795319256°; the L/W−φ residual is checked in B12. 3) This angle—not 51.84°—drives the equivalent pyramid and its constant errors. 4) The Blender script uses the different surface z=1/r² and remains a comparison only. 5) The condition is unique only after fixing Z0; with both αp and Z0 free there is a family of solutions. 6) The ideal φ:1:1 ellipsoid is a symmetric reference, whereas the Harthun–Rennert section is an egg-shaped curve, not a classical ellipse.</x:v>
      </x:c>
      <x:c r="I28" s="494"/>
      <x:c r="J28" s="494"/>
      <x:c r="K28" s="494"/>
      <x:c r="L28" s="494"/>
      <x:c r="M28" s="494"/>
      <x:c r="N28" s="494"/>
      <x:c r="O28" s="494"/>
      <x:c r="P28" s="494"/>
      <x:c r="Q28" s="430"/>
      <x:c r="R28" s="430"/>
      <x:c r="S28" s="430"/>
      <x:c r="T28" s="430"/>
    </x:row>
    <x:row r="29" ht="24" customHeight="1">
      <x:c r="A29" s="503" t="str">
        <x:v>Surface equation</x:v>
      </x:c>
      <x:c r="B29" s="484" t="str">
        <x:v>X²/(φ/2)² + Y²/(1/2)² + Z²/(1/2)² = 1</x:v>
      </x:c>
      <x:c r="C29" s="455"/>
      <x:c r="D29" s="455"/>
      <x:c r="E29" s="455"/>
      <x:c r="F29" s="455"/>
      <x:c r="G29" s="430"/>
      <x:c r="H29" s="494"/>
      <x:c r="I29" s="494"/>
      <x:c r="J29" s="494"/>
      <x:c r="K29" s="494"/>
      <x:c r="L29" s="494"/>
      <x:c r="M29" s="494"/>
      <x:c r="N29" s="494"/>
      <x:c r="O29" s="494"/>
      <x:c r="P29" s="494"/>
      <x:c r="Q29" s="430"/>
      <x:c r="R29" s="430"/>
      <x:c r="S29" s="430"/>
      <x:c r="T29" s="430"/>
    </x:row>
    <x:row r="30" ht="24" customHeight="1">
      <x:c r="A30" s="503" t="str">
        <x:v>Parameterization from video description</x:v>
      </x:c>
      <x:c r="B30" s="484" t="str">
        <x:v>x=φ cos(v) cos(u); y=cos(v) sin(u); z=sin(v)</x:v>
      </x:c>
      <x:c r="C30" s="455"/>
      <x:c r="D30" s="455"/>
      <x:c r="E30" s="455"/>
      <x:c r="F30" s="455"/>
      <x:c r="G30" s="430"/>
      <x:c r="H30" s="494"/>
      <x:c r="I30" s="494"/>
      <x:c r="J30" s="494"/>
      <x:c r="K30" s="494"/>
      <x:c r="L30" s="494"/>
      <x:c r="M30" s="494"/>
      <x:c r="N30" s="494"/>
      <x:c r="O30" s="494"/>
      <x:c r="P30" s="494"/>
      <x:c r="Q30" s="430"/>
      <x:c r="R30" s="430"/>
      <x:c r="S30" s="430"/>
      <x:c r="T30" s="430"/>
    </x:row>
    <x:row r="31" ht="24" customHeight="1">
      <x:c r="A31" s="503" t="str">
        <x:v>Eccentricity e</x:v>
      </x:c>
      <x:c r="B31" s="481" t="n">
        <x:f>SQRT(1-1/$B$9^2)</x:f>
        <x:v>0.7861513777574233</x:v>
      </x:c>
      <x:c r="C31" s="455"/>
      <x:c r="D31" s="455"/>
      <x:c r="E31" s="455"/>
      <x:c r="F31" s="455"/>
      <x:c r="G31" s="430"/>
      <x:c r="H31" s="494"/>
      <x:c r="I31" s="494"/>
      <x:c r="J31" s="494"/>
      <x:c r="K31" s="494"/>
      <x:c r="L31" s="494"/>
      <x:c r="M31" s="494"/>
      <x:c r="N31" s="494"/>
      <x:c r="O31" s="494"/>
      <x:c r="P31" s="494"/>
      <x:c r="Q31" s="430"/>
      <x:c r="R31" s="430"/>
      <x:c r="S31" s="430"/>
      <x:c r="T31" s="430"/>
    </x:row>
    <x:row r="32" ht="24" customHeight="1">
      <x:c r="A32" s="503" t="str">
        <x:v>Focal distance from center</x:v>
      </x:c>
      <x:c r="B32" s="481" t="n">
        <x:f>SQRT(($B$9/2)^2-(1/2)^2)</x:f>
        <x:v>0.6360098247570345</x:v>
      </x:c>
      <x:c r="C32" s="455"/>
      <x:c r="D32" s="455"/>
      <x:c r="E32" s="455"/>
      <x:c r="F32" s="455"/>
      <x:c r="G32" s="430"/>
      <x:c r="H32" s="494"/>
      <x:c r="I32" s="494"/>
      <x:c r="J32" s="494"/>
      <x:c r="K32" s="494"/>
      <x:c r="L32" s="494"/>
      <x:c r="M32" s="494"/>
      <x:c r="N32" s="494"/>
      <x:c r="O32" s="494"/>
      <x:c r="P32" s="494"/>
      <x:c r="Q32" s="430"/>
      <x:c r="R32" s="430"/>
      <x:c r="S32" s="430"/>
      <x:c r="T32" s="430"/>
    </x:row>
    <x:row r="33" ht="24" customHeight="1">
      <x:c r="A33" s="503" t="str">
        <x:v>Volume for length φ and width 1</x:v>
      </x:c>
      <x:c r="B33" s="481" t="n">
        <x:f>PI()*$B$9/6</x:f>
        <x:v>0.8472006153858765</x:v>
      </x:c>
      <x:c r="C33" s="455"/>
      <x:c r="D33" s="455"/>
      <x:c r="E33" s="455"/>
      <x:c r="F33" s="455"/>
      <x:c r="G33" s="430"/>
      <x:c r="H33" s="494"/>
      <x:c r="I33" s="494"/>
      <x:c r="J33" s="494"/>
      <x:c r="K33" s="494"/>
      <x:c r="L33" s="494"/>
      <x:c r="M33" s="494"/>
      <x:c r="N33" s="494"/>
      <x:c r="O33" s="494"/>
      <x:c r="P33" s="494"/>
      <x:c r="Q33" s="430"/>
      <x:c r="R33" s="430"/>
      <x:c r="S33" s="430"/>
      <x:c r="T33" s="430"/>
    </x:row>
    <x:row r="34" ht="24" customHeight="1">
      <x:c r="A34" s="504" t="str">
        <x:v>Surface area (prolate spheroid)</x:v>
      </x:c>
      <x:c r="B34" s="487" t="n">
        <x:f>2*PI()*(1/2)^2*(1+($B$9/2)/((1/2)*B31)*ASIN(B31))</x:f>
        <x:v>4.495199358526193</x:v>
      </x:c>
      <x:c r="C34" s="460"/>
      <x:c r="D34" s="460"/>
      <x:c r="E34" s="460"/>
      <x:c r="F34" s="460"/>
      <x:c r="G34" s="430"/>
      <x:c r="H34" s="494"/>
      <x:c r="I34" s="494"/>
      <x:c r="J34" s="494"/>
      <x:c r="K34" s="494"/>
      <x:c r="L34" s="494"/>
      <x:c r="M34" s="494"/>
      <x:c r="N34" s="494"/>
      <x:c r="O34" s="494"/>
      <x:c r="P34" s="494"/>
      <x:c r="Q34" s="430"/>
      <x:c r="R34" s="430"/>
      <x:c r="S34" s="430"/>
      <x:c r="T34" s="430"/>
    </x:row>
    <x:row r="35">
      <x:c r="A35" s="430"/>
      <x:c r="B35" s="430"/>
      <x:c r="C35" s="430"/>
      <x:c r="D35" s="430"/>
      <x:c r="E35" s="430"/>
      <x:c r="F35" s="430"/>
      <x:c r="G35" s="430"/>
      <x:c r="H35" s="430"/>
      <x:c r="I35" s="430"/>
      <x:c r="J35" s="430"/>
      <x:c r="K35" s="430"/>
      <x:c r="L35" s="430"/>
      <x:c r="M35" s="430"/>
      <x:c r="N35" s="430"/>
      <x:c r="O35" s="430"/>
      <x:c r="P35" s="430"/>
      <x:c r="Q35" s="430"/>
      <x:c r="R35" s="430"/>
      <x:c r="S35" s="430"/>
      <x:c r="T35" s="430"/>
    </x:row>
    <x:row r="36">
      <x:c r="A36" s="454" t="str">
        <x:v>SECTION COMPARISON</x:v>
      </x:c>
      <x:c r="B36" s="454"/>
      <x:c r="C36" s="454"/>
      <x:c r="D36" s="454"/>
      <x:c r="E36" s="454"/>
      <x:c r="F36" s="454"/>
      <x:c r="G36" s="430"/>
      <x:c r="H36" s="430"/>
      <x:c r="I36" s="430"/>
      <x:c r="J36" s="430"/>
      <x:c r="K36" s="430"/>
      <x:c r="L36" s="430"/>
      <x:c r="M36" s="430"/>
      <x:c r="N36" s="430"/>
      <x:c r="O36" s="430"/>
      <x:c r="P36" s="430"/>
      <x:c r="Q36" s="430"/>
      <x:c r="R36" s="430"/>
      <x:c r="S36" s="430"/>
      <x:c r="T36" s="430"/>
    </x:row>
    <x:row r="37">
      <x:c r="A37" s="503" t="str">
        <x:v>Variant</x:v>
      </x:c>
      <x:c r="B37" s="503" t="str">
        <x:v>Equation</x:v>
      </x:c>
      <x:c r="C37" s="503" t="str">
        <x:v>L</x:v>
      </x:c>
      <x:c r="D37" s="503" t="str">
        <x:v>W</x:v>
      </x:c>
      <x:c r="E37" s="503" t="str">
        <x:v>L/W</x:v>
      </x:c>
      <x:c r="F37" s="503" t="str">
        <x:v>Error to φ</x:v>
      </x:c>
      <x:c r="G37" s="430"/>
      <x:c r="H37" s="430"/>
      <x:c r="I37" s="430"/>
      <x:c r="J37" s="430"/>
      <x:c r="K37" s="430"/>
      <x:c r="L37" s="430"/>
      <x:c r="M37" s="430"/>
      <x:c r="N37" s="430"/>
      <x:c r="O37" s="430"/>
      <x:c r="P37" s="430"/>
      <x:c r="Q37" s="430"/>
      <x:c r="R37" s="430"/>
      <x:c r="S37" s="430"/>
      <x:c r="T37" s="430"/>
    </x:row>
    <x:row r="38">
      <x:c r="A38" s="503" t="str">
        <x:v>Source report</x:v>
      </x:c>
      <x:c r="B38" s="503" t="str">
        <x:v>Harthun–Rennert</x:v>
      </x:c>
      <x:c r="C38" s="505" t="n">
        <x:v>0.423584</x:v>
      </x:c>
      <x:c r="D38" s="505" t="n">
        <x:v>0.261789</x:v>
      </x:c>
      <x:c r="E38" s="505" t="n">
        <x:f>C38/D38</x:f>
        <x:v>1.6180358991401473</x:v>
      </x:c>
      <x:c r="F38" s="506" t="n">
        <x:f>ABS(E38-$B$9)/$B$9</x:f>
        <x:v>0.0000011806861077815282</x:v>
      </x:c>
      <x:c r="G38" s="430"/>
      <x:c r="H38" s="430"/>
      <x:c r="I38" s="430"/>
      <x:c r="J38" s="430"/>
      <x:c r="K38" s="430"/>
      <x:c r="L38" s="430"/>
      <x:c r="M38" s="430"/>
      <x:c r="N38" s="430"/>
      <x:c r="O38" s="430"/>
      <x:c r="P38" s="430"/>
      <x:c r="Q38" s="430"/>
      <x:c r="R38" s="430"/>
      <x:c r="S38" s="430"/>
      <x:c r="T38" s="430"/>
    </x:row>
    <x:row r="39">
      <x:c r="A39" s="503" t="str">
        <x:v>Golden Egg p=1 — exact φ</x:v>
      </x:c>
      <x:c r="B39" s="503" t="str">
        <x:v>z=1/r</x:v>
      </x:c>
      <x:c r="C39" s="505" t="n">
        <x:f>$R$23</x:f>
        <x:v>0.4231152457494818</x:v>
      </x:c>
      <x:c r="D39" s="505" t="n">
        <x:f>$R$21</x:f>
        <x:v>0.2614996030314438</x:v>
      </x:c>
      <x:c r="E39" s="505" t="n">
        <x:f>$R$25</x:f>
        <x:v>1.6180339887498973</x:v>
      </x:c>
      <x:c r="F39" s="506" t="n">
        <x:f>ABS(E39-$B$9)/$B$9</x:f>
        <x:v>1.509542241484328e-15</x:v>
      </x:c>
      <x:c r="G39" s="430"/>
      <x:c r="H39" s="430"/>
      <x:c r="I39" s="430"/>
      <x:c r="J39" s="430"/>
      <x:c r="K39" s="430"/>
      <x:c r="L39" s="430"/>
      <x:c r="M39" s="430"/>
      <x:c r="N39" s="430"/>
      <x:c r="O39" s="430"/>
      <x:c r="P39" s="430"/>
      <x:c r="Q39" s="430"/>
      <x:c r="R39" s="430"/>
      <x:c r="S39" s="430"/>
      <x:c r="T39" s="430"/>
    </x:row>
    <x:row r="40">
      <x:c r="A40" s="503" t="str">
        <x:v>Blender p=2 — at solved p=1 angle</x:v>
      </x:c>
      <x:c r="B40" s="503" t="str">
        <x:v>z=1/r²</x:v>
      </x:c>
      <x:c r="C40" s="505" t="n">
        <x:f>$R$24</x:f>
        <x:v>1.1718358455123061</x:v>
      </x:c>
      <x:c r="D40" s="505" t="n">
        <x:f>$R$22</x:f>
        <x:v>0.7234285524606325</x:v>
      </x:c>
      <x:c r="E40" s="505" t="n">
        <x:f>$R$26</x:f>
        <x:v>1.6198363218129617</x:v>
      </x:c>
      <x:c r="F40" s="506" t="n">
        <x:f>ABS(E40-$B$9)/$B$9</x:f>
        <x:v>0.0011139030920229674</x:v>
      </x:c>
      <x:c r="G40" s="430"/>
      <x:c r="H40" s="430"/>
      <x:c r="I40" s="430"/>
      <x:c r="J40" s="430"/>
      <x:c r="K40" s="430"/>
      <x:c r="L40" s="430"/>
      <x:c r="M40" s="430"/>
      <x:c r="N40" s="430"/>
      <x:c r="O40" s="430"/>
      <x:c r="P40" s="430"/>
      <x:c r="Q40" s="430"/>
      <x:c r="R40" s="430"/>
      <x:c r="S40" s="430"/>
      <x:c r="T40" s="430"/>
    </x:row>
    <x:row r="41">
      <x:c r="A41" s="504" t="str">
        <x:v>Ideal ellipsoid</x:v>
      </x:c>
      <x:c r="B41" s="504" t="str">
        <x:v>φ:1:1</x:v>
      </x:c>
      <x:c r="C41" s="507" t="n">
        <x:f>$B$9</x:f>
        <x:v>1.618033988749895</x:v>
      </x:c>
      <x:c r="D41" s="507" t="n">
        <x:v>1</x:v>
      </x:c>
      <x:c r="E41" s="507" t="n">
        <x:f>$B$9</x:f>
        <x:v>1.618033988749895</x:v>
      </x:c>
      <x:c r="F41" s="508" t="n">
        <x:v>0</x:v>
      </x:c>
      <x:c r="G41" s="430"/>
      <x:c r="H41" s="430"/>
      <x:c r="I41" s="430"/>
      <x:c r="J41" s="430"/>
      <x:c r="K41" s="430"/>
      <x:c r="L41" s="430"/>
      <x:c r="M41" s="430"/>
      <x:c r="N41" s="430"/>
      <x:c r="O41" s="430"/>
      <x:c r="P41" s="430"/>
      <x:c r="Q41" s="430"/>
      <x:c r="R41" s="430"/>
      <x:c r="S41" s="430"/>
      <x:c r="T41" s="430"/>
    </x:row>
    <x:row r="42">
      <x:c r="A42" s="430"/>
      <x:c r="B42" s="430"/>
      <x:c r="C42" s="430"/>
      <x:c r="D42" s="430"/>
      <x:c r="E42" s="430"/>
      <x:c r="F42" s="430"/>
      <x:c r="G42" s="430"/>
      <x:c r="H42" s="430"/>
      <x:c r="I42" s="430"/>
      <x:c r="J42" s="430"/>
      <x:c r="K42" s="430"/>
      <x:c r="L42" s="430"/>
      <x:c r="M42" s="430"/>
      <x:c r="N42" s="430"/>
      <x:c r="O42" s="430"/>
      <x:c r="P42" s="430"/>
      <x:c r="Q42" s="430"/>
      <x:c r="R42" s="430"/>
      <x:c r="S42" s="430"/>
      <x:c r="T42" s="430"/>
    </x:row>
    <x:row r="43">
      <x:c r="A43" s="454" t="str">
        <x:v>FULL CLASSICAL-CONE GEOMETRY — CONSTANT GENERATOR αg</x:v>
      </x:c>
      <x:c r="B43" s="454"/>
      <x:c r="C43" s="454"/>
      <x:c r="D43" s="454"/>
      <x:c r="E43" s="454"/>
      <x:c r="F43" s="454"/>
      <x:c r="G43" s="430"/>
      <x:c r="H43" s="430"/>
      <x:c r="I43" s="430"/>
      <x:c r="J43" s="430"/>
      <x:c r="K43" s="430"/>
      <x:c r="L43" s="430"/>
      <x:c r="M43" s="430"/>
      <x:c r="N43" s="430"/>
      <x:c r="O43" s="430"/>
      <x:c r="P43" s="430"/>
      <x:c r="Q43" s="430"/>
      <x:c r="R43" s="430"/>
      <x:c r="S43" s="430"/>
      <x:c r="T43" s="430"/>
    </x:row>
    <x:row r="44">
      <x:c r="A44" s="503" t="str">
        <x:v>Base radius R [mm]</x:v>
      </x:c>
      <x:c r="B44" s="509" t="n">
        <x:f>$B$10/2</x:f>
        <x:v>36.01125</x:v>
      </x:c>
      <x:c r="C44" s="503"/>
      <x:c r="D44" s="503"/>
      <x:c r="E44" s="503"/>
      <x:c r="F44" s="503"/>
      <x:c r="G44" s="430"/>
      <x:c r="H44" s="430"/>
      <x:c r="I44" s="430"/>
      <x:c r="J44" s="430"/>
      <x:c r="K44" s="430"/>
      <x:c r="L44" s="430"/>
      <x:c r="M44" s="430"/>
      <x:c r="N44" s="430"/>
      <x:c r="O44" s="430"/>
      <x:c r="P44" s="430"/>
      <x:c r="Q44" s="430"/>
      <x:c r="R44" s="430"/>
      <x:c r="S44" s="430"/>
      <x:c r="T44" s="430"/>
    </x:row>
    <x:row r="45">
      <x:c r="A45" s="503" t="str">
        <x:v>Height h [mm]</x:v>
      </x:c>
      <x:c r="B45" s="509" t="n">
        <x:f>B44*TAN(RADIANS($B$11))</x:f>
        <x:v>45.827933565937705</x:v>
      </x:c>
      <x:c r="C45" s="503"/>
      <x:c r="D45" s="503"/>
      <x:c r="E45" s="503"/>
      <x:c r="F45" s="503"/>
      <x:c r="G45" s="430"/>
      <x:c r="H45" s="430"/>
      <x:c r="I45" s="430"/>
      <x:c r="J45" s="430"/>
      <x:c r="K45" s="430"/>
      <x:c r="L45" s="430"/>
      <x:c r="M45" s="430"/>
      <x:c r="N45" s="430"/>
      <x:c r="O45" s="430"/>
      <x:c r="P45" s="430"/>
      <x:c r="Q45" s="430"/>
      <x:c r="R45" s="430"/>
      <x:c r="S45" s="430"/>
      <x:c r="T45" s="430"/>
    </x:row>
    <x:row r="46">
      <x:c r="A46" s="503" t="str">
        <x:v>Slant height l [mm]</x:v>
      </x:c>
      <x:c r="B46" s="509" t="n">
        <x:f>SQRT(B44^2+B45^2)</x:f>
        <x:v>58.28387102352159</x:v>
      </x:c>
      <x:c r="C46" s="503"/>
      <x:c r="D46" s="503"/>
      <x:c r="E46" s="503"/>
      <x:c r="F46" s="503"/>
      <x:c r="G46" s="430"/>
      <x:c r="H46" s="430"/>
      <x:c r="I46" s="430"/>
      <x:c r="J46" s="430"/>
      <x:c r="K46" s="430"/>
      <x:c r="L46" s="430"/>
      <x:c r="M46" s="430"/>
      <x:c r="N46" s="430"/>
      <x:c r="O46" s="430"/>
      <x:c r="P46" s="430"/>
      <x:c r="Q46" s="430"/>
      <x:c r="R46" s="430"/>
      <x:c r="S46" s="430"/>
      <x:c r="T46" s="430"/>
    </x:row>
    <x:row r="47">
      <x:c r="A47" s="503" t="str">
        <x:v>Generator-to-base angle αg</x:v>
      </x:c>
      <x:c r="B47" s="510" t="n">
        <x:f>$B$11</x:f>
        <x:v>51.84</x:v>
      </x:c>
      <x:c r="C47" s="503"/>
      <x:c r="D47" s="503"/>
      <x:c r="E47" s="503"/>
      <x:c r="F47" s="503"/>
      <x:c r="G47" s="430"/>
      <x:c r="H47" s="430"/>
      <x:c r="I47" s="430"/>
      <x:c r="J47" s="430"/>
      <x:c r="K47" s="430"/>
      <x:c r="L47" s="430"/>
      <x:c r="M47" s="430"/>
      <x:c r="N47" s="430"/>
      <x:c r="O47" s="430"/>
      <x:c r="P47" s="430"/>
      <x:c r="Q47" s="430"/>
      <x:c r="R47" s="430"/>
      <x:c r="S47" s="430"/>
      <x:c r="T47" s="430"/>
    </x:row>
    <x:row r="48">
      <x:c r="A48" s="503" t="str">
        <x:v>Apex half-angle β</x:v>
      </x:c>
      <x:c r="B48" s="510" t="n">
        <x:f>90-B47</x:f>
        <x:v>38.16</x:v>
      </x:c>
      <x:c r="C48" s="503"/>
      <x:c r="D48" s="503"/>
      <x:c r="E48" s="503"/>
      <x:c r="F48" s="503"/>
      <x:c r="G48" s="430"/>
      <x:c r="H48" s="430"/>
      <x:c r="I48" s="430"/>
      <x:c r="J48" s="430"/>
      <x:c r="K48" s="430"/>
      <x:c r="L48" s="430"/>
      <x:c r="M48" s="430"/>
      <x:c r="N48" s="430"/>
      <x:c r="O48" s="430"/>
      <x:c r="P48" s="430"/>
      <x:c r="Q48" s="430"/>
      <x:c r="R48" s="430"/>
      <x:c r="S48" s="430"/>
      <x:c r="T48" s="430"/>
    </x:row>
    <x:row r="49">
      <x:c r="A49" s="503" t="str">
        <x:v>Full apex angle 2β</x:v>
      </x:c>
      <x:c r="B49" s="510" t="n">
        <x:f>2*B48</x:f>
        <x:v>76.32</x:v>
      </x:c>
      <x:c r="C49" s="503"/>
      <x:c r="D49" s="503"/>
      <x:c r="E49" s="503"/>
      <x:c r="F49" s="503"/>
      <x:c r="G49" s="430"/>
      <x:c r="H49" s="430"/>
      <x:c r="I49" s="430"/>
      <x:c r="J49" s="430"/>
      <x:c r="K49" s="430"/>
      <x:c r="L49" s="430"/>
      <x:c r="M49" s="430"/>
      <x:c r="N49" s="430"/>
      <x:c r="O49" s="430"/>
      <x:c r="P49" s="430"/>
      <x:c r="Q49" s="430"/>
      <x:c r="R49" s="430"/>
      <x:c r="S49" s="430"/>
      <x:c r="T49" s="430"/>
    </x:row>
    <x:row r="50">
      <x:c r="A50" s="503" t="str">
        <x:v>Base area [mm²]</x:v>
      </x:c>
      <x:c r="B50" s="511" t="n">
        <x:f>PI()*B44^2</x:f>
        <x:v>4074.0491667095994</x:v>
      </x:c>
      <x:c r="C50" s="503"/>
      <x:c r="D50" s="503"/>
      <x:c r="E50" s="503"/>
      <x:c r="F50" s="503"/>
      <x:c r="G50" s="430"/>
      <x:c r="H50" s="430"/>
      <x:c r="I50" s="430"/>
      <x:c r="J50" s="430"/>
      <x:c r="K50" s="430"/>
      <x:c r="L50" s="430"/>
      <x:c r="M50" s="430"/>
      <x:c r="N50" s="430"/>
      <x:c r="O50" s="430"/>
      <x:c r="P50" s="430"/>
      <x:c r="Q50" s="430"/>
      <x:c r="R50" s="430"/>
      <x:c r="S50" s="430"/>
      <x:c r="T50" s="430"/>
    </x:row>
    <x:row r="51">
      <x:c r="A51" s="503" t="str">
        <x:v>Lateral area [mm²]</x:v>
      </x:c>
      <x:c r="B51" s="511" t="n">
        <x:f>PI()*B44*B46</x:f>
        <x:v>6593.810439126326</x:v>
      </x:c>
      <x:c r="C51" s="503"/>
      <x:c r="D51" s="503"/>
      <x:c r="E51" s="503"/>
      <x:c r="F51" s="503"/>
      <x:c r="G51" s="430"/>
      <x:c r="H51" s="430"/>
      <x:c r="I51" s="430"/>
      <x:c r="J51" s="430"/>
      <x:c r="K51" s="430"/>
      <x:c r="L51" s="430"/>
      <x:c r="M51" s="430"/>
      <x:c r="N51" s="430"/>
      <x:c r="O51" s="430"/>
      <x:c r="P51" s="430"/>
      <x:c r="Q51" s="430"/>
      <x:c r="R51" s="430"/>
      <x:c r="S51" s="430"/>
      <x:c r="T51" s="430"/>
    </x:row>
    <x:row r="52">
      <x:c r="A52" s="503" t="str">
        <x:v>Total area [mm²]</x:v>
      </x:c>
      <x:c r="B52" s="511" t="n">
        <x:f>B50+B51</x:f>
        <x:v>10667.859605835925</x:v>
      </x:c>
      <x:c r="C52" s="503"/>
      <x:c r="D52" s="503"/>
      <x:c r="E52" s="503"/>
      <x:c r="F52" s="503"/>
      <x:c r="G52" s="430"/>
      <x:c r="H52" s="430"/>
      <x:c r="I52" s="430"/>
      <x:c r="J52" s="430"/>
      <x:c r="K52" s="430"/>
      <x:c r="L52" s="430"/>
      <x:c r="M52" s="430"/>
      <x:c r="N52" s="430"/>
      <x:c r="O52" s="430"/>
      <x:c r="P52" s="430"/>
      <x:c r="Q52" s="430"/>
      <x:c r="R52" s="430"/>
      <x:c r="S52" s="430"/>
      <x:c r="T52" s="430"/>
    </x:row>
    <x:row r="53">
      <x:c r="A53" s="503" t="str">
        <x:v>Volume [mm³]</x:v>
      </x:c>
      <x:c r="B53" s="511" t="n">
        <x:f>PI()*B44^2*B45/3</x:f>
        <x:v>62235.084852110456</x:v>
      </x:c>
      <x:c r="C53" s="503"/>
      <x:c r="D53" s="503"/>
      <x:c r="E53" s="503"/>
      <x:c r="F53" s="503"/>
      <x:c r="G53" s="430"/>
      <x:c r="H53" s="430"/>
      <x:c r="I53" s="430"/>
      <x:c r="J53" s="430"/>
      <x:c r="K53" s="430"/>
      <x:c r="L53" s="430"/>
      <x:c r="M53" s="430"/>
      <x:c r="N53" s="430"/>
      <x:c r="O53" s="430"/>
      <x:c r="P53" s="430"/>
      <x:c r="Q53" s="430"/>
      <x:c r="R53" s="430"/>
      <x:c r="S53" s="430"/>
      <x:c r="T53" s="430"/>
    </x:row>
    <x:row r="54">
      <x:c r="A54" s="504" t="str">
        <x:v>Equation (base z=0, apex z=h)</x:v>
      </x:c>
      <x:c r="B54" s="512" t="str">
        <x:f>"x²+y²=(R/h)²(h−z)²"</x:f>
        <x:v>x²+y²=(R/h)²(h−z)²</x:v>
      </x:c>
      <x:c r="C54" s="504"/>
      <x:c r="D54" s="504"/>
      <x:c r="E54" s="504"/>
      <x:c r="F54" s="504"/>
      <x:c r="G54" s="430"/>
      <x:c r="H54" s="430"/>
      <x:c r="I54" s="430"/>
      <x:c r="J54" s="430"/>
      <x:c r="K54" s="430"/>
      <x:c r="L54" s="430"/>
      <x:c r="M54" s="430"/>
      <x:c r="N54" s="430"/>
      <x:c r="O54" s="430"/>
      <x:c r="P54" s="430"/>
      <x:c r="Q54" s="430"/>
      <x:c r="R54" s="430"/>
      <x:c r="S54" s="430"/>
      <x:c r="T54" s="430"/>
    </x:row>
    <x:row r="55">
      <x:c r="A55" s="430"/>
      <x:c r="B55" s="430"/>
      <x:c r="C55" s="430"/>
      <x:c r="D55" s="430"/>
      <x:c r="E55" s="430"/>
      <x:c r="F55" s="430"/>
      <x:c r="G55" s="430"/>
      <x:c r="H55" s="430"/>
      <x:c r="I55" s="430"/>
      <x:c r="J55" s="430"/>
      <x:c r="K55" s="430"/>
      <x:c r="L55" s="430"/>
      <x:c r="M55" s="430"/>
      <x:c r="N55" s="430"/>
      <x:c r="O55" s="430"/>
      <x:c r="P55" s="430"/>
      <x:c r="Q55" s="430"/>
      <x:c r="R55" s="430"/>
      <x:c r="S55" s="430"/>
      <x:c r="T55" s="430"/>
    </x:row>
    <x:row r="56">
      <x:c r="A56" s="454" t="str">
        <x:v>SECTION COORDINATES — all curves normalized to width W=1</x:v>
      </x:c>
      <x:c r="B56" s="454"/>
      <x:c r="C56" s="454"/>
      <x:c r="D56" s="454"/>
      <x:c r="E56" s="454"/>
      <x:c r="F56" s="454"/>
      <x:c r="G56" s="454"/>
      <x:c r="H56" s="454"/>
      <x:c r="I56" s="454"/>
      <x:c r="J56" s="454"/>
      <x:c r="K56" s="454"/>
      <x:c r="L56" s="454"/>
      <x:c r="M56" s="454"/>
      <x:c r="N56" s="454"/>
      <x:c r="O56" s="454"/>
      <x:c r="P56" s="454"/>
      <x:c r="Q56" s="430"/>
      <x:c r="R56" s="430"/>
      <x:c r="S56" s="430"/>
      <x:c r="T56" s="430"/>
    </x:row>
    <x:row r="57">
      <x:c r="A57" s="498" t="str">
        <x:v>t</x:v>
      </x:c>
      <x:c r="B57" s="498" t="str">
        <x:v>v p=1</x:v>
      </x:c>
      <x:c r="C57" s="498" t="str">
        <x:v>+u p=1</x:v>
      </x:c>
      <x:c r="D57" s="498" t="str">
        <x:v>−u p=1</x:v>
      </x:c>
      <x:c r="E57" s="498" t="str">
        <x:v>v/W p=1</x:v>
      </x:c>
      <x:c r="F57" s="498" t="str">
        <x:v>+u/W p=1</x:v>
      </x:c>
      <x:c r="G57" s="498" t="str">
        <x:v>−u/W p=1</x:v>
      </x:c>
      <x:c r="H57" s="498" t="str">
        <x:v>v p=2</x:v>
      </x:c>
      <x:c r="I57" s="498" t="str">
        <x:v>+u p=2</x:v>
      </x:c>
      <x:c r="J57" s="498" t="str">
        <x:v>−u p=2</x:v>
      </x:c>
      <x:c r="K57" s="498" t="str">
        <x:v>v/W p=2</x:v>
      </x:c>
      <x:c r="L57" s="498" t="str">
        <x:v>+u/W p=2</x:v>
      </x:c>
      <x:c r="M57" s="498" t="str">
        <x:v>−u/W p=2</x:v>
      </x:c>
      <x:c r="N57" s="498" t="str">
        <x:v>v ellipsoid</x:v>
      </x:c>
      <x:c r="O57" s="498" t="str">
        <x:v>+u ellipsoid</x:v>
      </x:c>
      <x:c r="P57" s="498" t="str">
        <x:v>−u ellipsoid</x:v>
      </x:c>
      <x:c r="Q57" s="430"/>
      <x:c r="R57" s="430"/>
      <x:c r="S57" s="430"/>
      <x:c r="T57" s="430"/>
    </x:row>
    <x:row r="58">
      <x:c r="A58" s="500" t="n">
        <x:v>0</x:v>
      </x:c>
      <x:c r="B58" s="500" t="n">
        <x:f>$R$16+A58*($R$17-$R$16)</x:f>
        <x:v>-0.20695805846449575</x:v>
      </x:c>
      <x:c r="C58" s="500" t="n">
        <x:f>SQRT(MAX(0,1/($B$8-B58*$R$6)^2-B58^2*$R$7^2))</x:f>
        <x:v>0</x:v>
      </x:c>
      <x:c r="D58" s="500" t="n">
        <x:f>-C58</x:f>
        <x:v>0</x:v>
      </x:c>
      <x:c r="E58" s="500" t="n">
        <x:f>(B58-($R$16+$R$17)/2)/$R$21</x:f>
        <x:v>-0.8090169943749487</x:v>
      </x:c>
      <x:c r="F58" s="500" t="n">
        <x:f>C58/$R$21</x:f>
        <x:v>0</x:v>
      </x:c>
      <x:c r="G58" s="500" t="n">
        <x:f>-F58</x:f>
        <x:v>0</x:v>
      </x:c>
      <x:c r="H58" s="500" t="n">
        <x:f>$R$18+A58*($R$19-$R$18)</x:f>
        <x:v>-0.568237918353518</x:v>
      </x:c>
      <x:c r="I58" s="500" t="n">
        <x:f>SQRT(MAX(0,1/($B$8-H58*$R$6)-H58^2*$R$7^2))</x:f>
        <x:v>0</x:v>
      </x:c>
      <x:c r="J58" s="500" t="n">
        <x:f>-I58</x:f>
        <x:v>0</x:v>
      </x:c>
      <x:c r="K58" s="500" t="n">
        <x:f>(H58-($R$18+$R$19)/2)/$R$22</x:f>
        <x:v>-0.8099181609064808</x:v>
      </x:c>
      <x:c r="L58" s="500" t="n">
        <x:f>I58/$R$22</x:f>
        <x:v>0</x:v>
      </x:c>
      <x:c r="M58" s="500" t="n">
        <x:f>-L58</x:f>
        <x:v>0</x:v>
      </x:c>
      <x:c r="N58" s="500" t="n">
        <x:f>-$B$9/2+A58*$B$9</x:f>
        <x:v>-0.8090169943749475</x:v>
      </x:c>
      <x:c r="O58" s="500" t="n">
        <x:f>0.5*SQRT(MAX(0,1-(2*N58/$B$9)^2))</x:f>
        <x:v>0</x:v>
      </x:c>
      <x:c r="P58" s="500" t="n">
        <x:f>-O58</x:f>
        <x:v>0</x:v>
      </x:c>
      <x:c r="Q58" s="430"/>
      <x:c r="R58" s="430"/>
      <x:c r="S58" s="430"/>
      <x:c r="T58" s="430"/>
    </x:row>
    <x:row r="59">
      <x:c r="A59" s="500" t="n">
        <x:v>0.025</x:v>
      </x:c>
      <x:c r="B59" s="500" t="n">
        <x:f>$R$16+A59*($R$17-$R$16)</x:f>
        <x:v>-0.19638017732075871</x:v>
      </x:c>
      <x:c r="C59" s="500" t="n">
        <x:f>SQRT(MAX(0,1/($B$8-B59*$R$6)^2-B59^2*$R$7^2))</x:f>
        <x:v>0.04082739044701382</x:v>
      </x:c>
      <x:c r="D59" s="500" t="n">
        <x:f>-C59</x:f>
        <x:v>-0.04082739044701382</x:v>
      </x:c>
      <x:c r="E59" s="500" t="n">
        <x:f>(B59-($R$16+$R$17)/2)/$R$21</x:f>
        <x:v>-0.7685661446562013</x:v>
      </x:c>
      <x:c r="F59" s="500" t="n">
        <x:f>C59/$R$21</x:f>
        <x:v>0.156127925142986</x:v>
      </x:c>
      <x:c r="G59" s="500" t="n">
        <x:f>-F59</x:f>
        <x:v>-0.156127925142986</x:v>
      </x:c>
      <x:c r="H59" s="500" t="n">
        <x:f>$R$18+A59*($R$19-$R$18)</x:f>
        <x:v>-0.5389420222157103</x:v>
      </x:c>
      <x:c r="I59" s="500" t="n">
        <x:f>SQRT(MAX(0,1/($B$8-H59*$R$6)-H59^2*$R$7^2))</x:f>
        <x:v>0.11295641954324843</x:v>
      </x:c>
      <x:c r="J59" s="500" t="n">
        <x:f>-I59</x:f>
        <x:v>-0.11295641954324843</x:v>
      </x:c>
      <x:c r="K59" s="500" t="n">
        <x:f>(H59-($R$18+$R$19)/2)/$R$22</x:f>
        <x:v>-0.7694222528611567</x:v>
      </x:c>
      <x:c r="L59" s="500" t="n">
        <x:f>I59/$R$22</x:f>
        <x:v>0.15614039445781383</x:v>
      </x:c>
      <x:c r="M59" s="500" t="n">
        <x:f>-L59</x:f>
        <x:v>-0.15614039445781383</x:v>
      </x:c>
      <x:c r="N59" s="500" t="n">
        <x:f>-$B$9/2+A59*$B$9</x:f>
        <x:v>-0.7685661446562001</x:v>
      </x:c>
      <x:c r="O59" s="500" t="n">
        <x:f>0.5*SQRT(MAX(0,1-(2*N59/$B$9)^2))</x:f>
        <x:v>0.1561249499599599</x:v>
      </x:c>
      <x:c r="P59" s="500" t="n">
        <x:f>-O59</x:f>
        <x:v>-0.1561249499599599</x:v>
      </x:c>
      <x:c r="Q59" s="430"/>
      <x:c r="R59" s="430"/>
      <x:c r="S59" s="430"/>
      <x:c r="T59" s="430"/>
    </x:row>
    <x:row r="60">
      <x:c r="A60" s="500" t="n">
        <x:v>0.05</x:v>
      </x:c>
      <x:c r="B60" s="500" t="n">
        <x:f>$R$16+A60*($R$17-$R$16)</x:f>
        <x:v>-0.18580229617702165</x:v>
      </x:c>
      <x:c r="C60" s="500" t="n">
        <x:f>SQRT(MAX(0,1/($B$8-B60*$R$6)^2-B60^2*$R$7^2))</x:f>
        <x:v>0.05699354744845092</x:v>
      </x:c>
      <x:c r="D60" s="500" t="n">
        <x:f>-C60</x:f>
        <x:v>-0.05699354744845092</x:v>
      </x:c>
      <x:c r="E60" s="500" t="n">
        <x:f>(B60-($R$16+$R$17)/2)/$R$21</x:f>
        <x:v>-0.7281152949374539</x:v>
      </x:c>
      <x:c r="F60" s="500" t="n">
        <x:f>C60/$R$21</x:f>
        <x:v>0.21794888706426746</x:v>
      </x:c>
      <x:c r="G60" s="500" t="n">
        <x:f>-F60</x:f>
        <x:v>-0.21794888706426746</x:v>
      </x:c>
      <x:c r="H60" s="500" t="n">
        <x:f>$R$18+A60*($R$19-$R$18)</x:f>
        <x:v>-0.5096461260779027</x:v>
      </x:c>
      <x:c r="I60" s="500" t="n">
        <x:f>SQRT(MAX(0,1/($B$8-H60*$R$6)-H60^2*$R$7^2))</x:f>
        <x:v>0.15768241614505987</x:v>
      </x:c>
      <x:c r="J60" s="500" t="n">
        <x:f>-I60</x:f>
        <x:v>-0.15768241614505987</x:v>
      </x:c>
      <x:c r="K60" s="500" t="n">
        <x:f>(H60-($R$18+$R$19)/2)/$R$22</x:f>
        <x:v>-0.7289263448158327</x:v>
      </x:c>
      <x:c r="L60" s="500" t="n">
        <x:f>I60/$R$22</x:f>
        <x:v>0.2179654308759684</x:v>
      </x:c>
      <x:c r="M60" s="500" t="n">
        <x:f>-L60</x:f>
        <x:v>-0.2179654308759684</x:v>
      </x:c>
      <x:c r="N60" s="500" t="n">
        <x:f>-$B$9/2+A60*$B$9</x:f>
        <x:v>-0.7281152949374528</x:v>
      </x:c>
      <x:c r="O60" s="500" t="n">
        <x:f>0.5*SQRT(MAX(0,1-(2*N60/$B$9)^2))</x:f>
        <x:v>0.21794494717703364</x:v>
      </x:c>
      <x:c r="P60" s="500" t="n">
        <x:f>-O60</x:f>
        <x:v>-0.21794494717703364</x:v>
      </x:c>
      <x:c r="Q60" s="430"/>
      <x:c r="R60" s="430"/>
      <x:c r="S60" s="430"/>
      <x:c r="T60" s="430"/>
    </x:row>
    <x:row r="61">
      <x:c r="A61" s="500" t="n">
        <x:v>0.075</x:v>
      </x:c>
      <x:c r="B61" s="500" t="n">
        <x:f>$R$16+A61*($R$17-$R$16)</x:f>
        <x:v>-0.17522441503328462</x:v>
      </x:c>
      <x:c r="C61" s="500" t="n">
        <x:f>SQRT(MAX(0,1/($B$8-B61*$R$6)^2-B61^2*$R$7^2))</x:f>
        <x:v>0.06887790935770985</x:v>
      </x:c>
      <x:c r="D61" s="500" t="n">
        <x:f>-C61</x:f>
        <x:v>-0.06887790935770985</x:v>
      </x:c>
      <x:c r="E61" s="500" t="n">
        <x:f>(B61-($R$16+$R$17)/2)/$R$21</x:f>
        <x:v>-0.6876644452187065</x:v>
      </x:c>
      <x:c r="F61" s="500" t="n">
        <x:f>C61/$R$21</x:f>
        <x:v>0.26339584672114275</x:v>
      </x:c>
      <x:c r="G61" s="500" t="n">
        <x:f>-F61</x:f>
        <x:v>-0.26339584672114275</x:v>
      </x:c>
      <x:c r="H61" s="500" t="n">
        <x:f>$R$18+A61*($R$19-$R$18)</x:f>
        <x:v>-0.480350229940095</x:v>
      </x:c>
      <x:c r="I61" s="500" t="n">
        <x:f>SQRT(MAX(0,1/($B$8-H61*$R$6)-H61^2*$R$7^2))</x:f>
        <x:v>0.1905617807019366</x:v>
      </x:c>
      <x:c r="J61" s="500" t="n">
        <x:f>-I61</x:f>
        <x:v>-0.1905617807019366</x:v>
      </x:c>
      <x:c r="K61" s="500" t="n">
        <x:f>(H61-($R$18+$R$19)/2)/$R$22</x:f>
        <x:v>-0.6884304367705086</x:v>
      </x:c>
      <x:c r="L61" s="500" t="n">
        <x:f>I61/$R$22</x:f>
        <x:v>0.2634147906573076</x:v>
      </x:c>
      <x:c r="M61" s="500" t="n">
        <x:f>-L61</x:f>
        <x:v>-0.2634147906573076</x:v>
      </x:c>
      <x:c r="N61" s="500" t="n">
        <x:f>-$B$9/2+A61*$B$9</x:f>
        <x:v>-0.6876644452187053</x:v>
      </x:c>
      <x:c r="O61" s="500" t="n">
        <x:f>0.5*SQRT(MAX(0,1-(2*N61/$B$9)^2))</x:f>
        <x:v>0.2633913438213185</x:v>
      </x:c>
      <x:c r="P61" s="500" t="n">
        <x:f>-O61</x:f>
        <x:v>-0.2633913438213185</x:v>
      </x:c>
      <x:c r="Q61" s="430"/>
      <x:c r="R61" s="430"/>
      <x:c r="S61" s="430"/>
      <x:c r="T61" s="430"/>
    </x:row>
    <x:row r="62">
      <x:c r="A62" s="500" t="n">
        <x:v>0.1</x:v>
      </x:c>
      <x:c r="B62" s="500" t="n">
        <x:f>$R$16+A62*($R$17-$R$16)</x:f>
        <x:v>-0.16464653388954756</x:v>
      </x:c>
      <x:c r="C62" s="500" t="n">
        <x:f>SQRT(MAX(0,1/($B$8-B62*$R$6)^2-B62^2*$R$7^2))</x:f>
        <x:v>0.07845114486612619</x:v>
      </x:c>
      <x:c r="D62" s="500" t="n">
        <x:f>-C62</x:f>
        <x:v>-0.07845114486612619</x:v>
      </x:c>
      <x:c r="E62" s="500" t="n">
        <x:f>(B62-($R$16+$R$17)/2)/$R$21</x:f>
        <x:v>-0.6472135954999589</x:v>
      </x:c>
      <x:c r="F62" s="500" t="n">
        <x:f>C62/$R$21</x:f>
        <x:v>0.3000048334937353</x:v>
      </x:c>
      <x:c r="G62" s="500" t="n">
        <x:f>-F62</x:f>
        <x:v>-0.3000048334937353</x:v>
      </x:c>
      <x:c r="H62" s="500" t="n">
        <x:f>$R$18+A62*($R$19-$R$18)</x:f>
        <x:v>-0.4510543338022874</x:v>
      </x:c>
      <x:c r="I62" s="500" t="n">
        <x:f>SQRT(MAX(0,1/($B$8-H62*$R$6)-H62^2*$R$7^2))</x:f>
        <x:v>0.21704680129542958</x:v>
      </x:c>
      <x:c r="J62" s="500" t="n">
        <x:f>-I62</x:f>
        <x:v>-0.21704680129542958</x:v>
      </x:c>
      <x:c r="K62" s="500" t="n">
        <x:f>(H62-($R$18+$R$19)/2)/$R$22</x:f>
        <x:v>-0.6479345287251846</x:v>
      </x:c>
      <x:c r="L62" s="500" t="n">
        <x:f>I62/$R$22</x:f>
        <x:v>0.30002520712954694</x:v>
      </x:c>
      <x:c r="M62" s="500" t="n">
        <x:f>-L62</x:f>
        <x:v>-0.30002520712954694</x:v>
      </x:c>
      <x:c r="N62" s="500" t="n">
        <x:f>-$B$9/2+A62*$B$9</x:f>
        <x:v>-0.6472135954999579</x:v>
      </x:c>
      <x:c r="O62" s="500" t="n">
        <x:f>0.5*SQRT(MAX(0,1-(2*N62/$B$9)^2))</x:f>
        <x:v>0.30000000000000004</x:v>
      </x:c>
      <x:c r="P62" s="500" t="n">
        <x:f>-O62</x:f>
        <x:v>-0.30000000000000004</x:v>
      </x:c>
      <x:c r="Q62" s="430"/>
      <x:c r="R62" s="430"/>
      <x:c r="S62" s="430"/>
      <x:c r="T62" s="430"/>
    </x:row>
    <x:row r="63">
      <x:c r="A63" s="500" t="n">
        <x:v>0.125</x:v>
      </x:c>
      <x:c r="B63" s="500" t="n">
        <x:f>$R$16+A63*($R$17-$R$16)</x:f>
        <x:v>-0.15406865274581052</x:v>
      </x:c>
      <x:c r="C63" s="500" t="n">
        <x:f>SQRT(MAX(0,1/($B$8-B63*$R$6)^2-B63^2*$R$7^2))</x:f>
        <x:v>0.08648417273224406</x:v>
      </x:c>
      <x:c r="D63" s="500" t="n">
        <x:f>-C63</x:f>
        <x:v>-0.08648417273224406</x:v>
      </x:c>
      <x:c r="E63" s="500" t="n">
        <x:f>(B63-($R$16+$R$17)/2)/$R$21</x:f>
        <x:v>-0.6067627457812115</x:v>
      </x:c>
      <x:c r="F63" s="500" t="n">
        <x:f>C63/$R$21</x:f>
        <x:v>0.3307239159435543</x:v>
      </x:c>
      <x:c r="G63" s="500" t="n">
        <x:f>-F63</x:f>
        <x:v>-0.3307239159435543</x:v>
      </x:c>
      <x:c r="H63" s="500" t="n">
        <x:f>$R$18+A63*($R$19-$R$18)</x:f>
        <x:v>-0.42175843766447974</x:v>
      </x:c>
      <x:c r="I63" s="500" t="n">
        <x:f>SQRT(MAX(0,1/($B$8-H63*$R$6)-H63^2*$R$7^2))</x:f>
        <x:v>0.23927040593462331</x:v>
      </x:c>
      <x:c r="J63" s="500" t="n">
        <x:f>-I63</x:f>
        <x:v>-0.23927040593462331</x:v>
      </x:c>
      <x:c r="K63" s="500" t="n">
        <x:f>(H63-($R$18+$R$19)/2)/$R$22</x:f>
        <x:v>-0.6074386206798605</x:v>
      </x:c>
      <x:c r="L63" s="500" t="n">
        <x:f>I63/$R$22</x:f>
        <x:v>0.3307450405721219</x:v>
      </x:c>
      <x:c r="M63" s="500" t="n">
        <x:f>-L63</x:f>
        <x:v>-0.3307450405721219</x:v>
      </x:c>
      <x:c r="N63" s="500" t="n">
        <x:f>-$B$9/2+A63*$B$9</x:f>
        <x:v>-0.6067627457812106</x:v>
      </x:c>
      <x:c r="O63" s="500" t="n">
        <x:f>0.5*SQRT(MAX(0,1-(2*N63/$B$9)^2))</x:f>
        <x:v>0.33071891388307384</x:v>
      </x:c>
      <x:c r="P63" s="500" t="n">
        <x:f>-O63</x:f>
        <x:v>-0.33071891388307384</x:v>
      </x:c>
      <x:c r="Q63" s="430"/>
      <x:c r="R63" s="430"/>
      <x:c r="S63" s="430"/>
      <x:c r="T63" s="430"/>
    </x:row>
    <x:row r="64">
      <x:c r="A64" s="500" t="n">
        <x:v>0.15</x:v>
      </x:c>
      <x:c r="B64" s="500" t="n">
        <x:f>$R$16+A64*($R$17-$R$16)</x:f>
        <x:v>-0.14349077160207346</x:v>
      </x:c>
      <x:c r="C64" s="500" t="n">
        <x:f>SQRT(MAX(0,1/($B$8-B64*$R$6)^2-B64^2*$R$7^2))</x:f>
        <x:v>0.09337535483021338</x:v>
      </x:c>
      <x:c r="D64" s="500" t="n">
        <x:f>-C64</x:f>
        <x:v>-0.09337535483021338</x:v>
      </x:c>
      <x:c r="E64" s="500" t="n">
        <x:f>(B64-($R$16+$R$17)/2)/$R$21</x:f>
        <x:v>-0.5663118960624641</x:v>
      </x:c>
      <x:c r="F64" s="500" t="n">
        <x:f>C64/$R$21</x:f>
        <x:v>0.35707646875083604</x:v>
      </x:c>
      <x:c r="G64" s="500" t="n">
        <x:f>-F64</x:f>
        <x:v>-0.35707646875083604</x:v>
      </x:c>
      <x:c r="H64" s="500" t="n">
        <x:f>$R$18+A64*($R$19-$R$18)</x:f>
        <x:v>-0.3924625415266721</x:v>
      </x:c>
      <x:c r="I64" s="500" t="n">
        <x:f>SQRT(MAX(0,1/($B$8-H64*$R$6)-H64^2*$R$7^2))</x:f>
        <x:v>0.2583347630691341</x:v>
      </x:c>
      <x:c r="J64" s="500" t="n">
        <x:f>-I64</x:f>
        <x:v>-0.2583347630691341</x:v>
      </x:c>
      <x:c r="K64" s="500" t="n">
        <x:f>(H64-($R$18+$R$19)/2)/$R$22</x:f>
        <x:v>-0.5669427126345365</x:v>
      </x:c>
      <x:c r="L64" s="500" t="n">
        <x:f>I64/$R$22</x:f>
        <x:v>0.3570978256117312</x:v>
      </x:c>
      <x:c r="M64" s="500" t="n">
        <x:f>-L64</x:f>
        <x:v>-0.3570978256117312</x:v>
      </x:c>
      <x:c r="N64" s="500" t="n">
        <x:f>-$B$9/2+A64*$B$9</x:f>
        <x:v>-0.5663118960624632</x:v>
      </x:c>
      <x:c r="O64" s="500" t="n">
        <x:f>0.5*SQRT(MAX(0,1-(2*N64/$B$9)^2))</x:f>
        <x:v>0.3570714214271425</x:v>
      </x:c>
      <x:c r="P64" s="500" t="n">
        <x:f>-O64</x:f>
        <x:v>-0.3570714214271425</x:v>
      </x:c>
      <x:c r="Q64" s="430"/>
      <x:c r="R64" s="430"/>
      <x:c r="S64" s="430"/>
      <x:c r="T64" s="430"/>
    </x:row>
    <x:row r="65">
      <x:c r="A65" s="500" t="n">
        <x:v>0.175</x:v>
      </x:c>
      <x:c r="B65" s="500" t="n">
        <x:f>$R$16+A65*($R$17-$R$16)</x:f>
        <x:v>-0.13291289045833643</x:v>
      </x:c>
      <x:c r="C65" s="500" t="n">
        <x:f>SQRT(MAX(0,1/($B$8-B65*$R$6)^2-B65^2*$R$7^2))</x:f>
        <x:v>0.09936255274460848</x:v>
      </x:c>
      <x:c r="D65" s="500" t="n">
        <x:f>-C65</x:f>
        <x:v>-0.09936255274460848</x:v>
      </x:c>
      <x:c r="E65" s="500" t="n">
        <x:f>(B65-($R$16+$R$17)/2)/$R$21</x:f>
        <x:v>-0.5258610463437167</x:v>
      </x:c>
      <x:c r="F65" s="500" t="n">
        <x:f>C65/$R$21</x:f>
        <x:v>0.3799720978263233</x:v>
      </x:c>
      <x:c r="G65" s="500" t="n">
        <x:f>-F65</x:f>
        <x:v>-0.3799720978263233</x:v>
      </x:c>
      <x:c r="H65" s="500" t="n">
        <x:f>$R$18+A65*($R$19-$R$18)</x:f>
        <x:v>-0.36316664538886445</x:v>
      </x:c>
      <x:c r="I65" s="500" t="n">
        <x:f>SQRT(MAX(0,1/($B$8-H65*$R$6)-H65^2*$R$7^2))</x:f>
        <x:v>0.274897981180957</x:v>
      </x:c>
      <x:c r="J65" s="500" t="n">
        <x:f>-I65</x:f>
        <x:v>-0.274897981180957</x:v>
      </x:c>
      <x:c r="K65" s="500" t="n">
        <x:f>(H65-($R$18+$R$19)/2)/$R$22</x:f>
        <x:v>-0.5264468045892126</x:v>
      </x:c>
      <x:c r="L65" s="500" t="n">
        <x:f>I65/$R$22</x:f>
        <x:v>0.3799932698895187</x:v>
      </x:c>
      <x:c r="M65" s="500" t="n">
        <x:f>-L65</x:f>
        <x:v>-0.3799932698895187</x:v>
      </x:c>
      <x:c r="N65" s="500" t="n">
        <x:f>-$B$9/2+A65*$B$9</x:f>
        <x:v>-0.5258610463437159</x:v>
      </x:c>
      <x:c r="O65" s="500" t="n">
        <x:f>0.5*SQRT(MAX(0,1-(2*N65/$B$9)^2))</x:f>
        <x:v>0.3799671038392666</x:v>
      </x:c>
      <x:c r="P65" s="500" t="n">
        <x:f>-O65</x:f>
        <x:v>-0.3799671038392666</x:v>
      </x:c>
      <x:c r="Q65" s="430"/>
      <x:c r="R65" s="430"/>
      <x:c r="S65" s="430"/>
      <x:c r="T65" s="430"/>
    </x:row>
    <x:row r="66">
      <x:c r="A66" s="500" t="n">
        <x:v>0.2</x:v>
      </x:c>
      <x:c r="B66" s="500" t="n">
        <x:f>$R$16+A66*($R$17-$R$16)</x:f>
        <x:v>-0.12233500931459938</x:v>
      </x:c>
      <x:c r="C66" s="500" t="n">
        <x:f>SQRT(MAX(0,1/($B$8-B66*$R$6)^2-B66^2*$R$7^2))</x:f>
        <x:v>0.10460111193589369</x:v>
      </x:c>
      <x:c r="D66" s="500" t="n">
        <x:f>-C66</x:f>
        <x:v>-0.10460111193589369</x:v>
      </x:c>
      <x:c r="E66" s="500" t="n">
        <x:f>(B66-($R$16+$R$17)/2)/$R$21</x:f>
        <x:v>-0.4854101966249692</x:v>
      </x:c>
      <x:c r="F66" s="500" t="n">
        <x:f>C66/$R$21</x:f>
        <x:v>0.40000485936996244</x:v>
      </x:c>
      <x:c r="G66" s="500" t="n">
        <x:f>-F66</x:f>
        <x:v>-0.40000485936996244</x:v>
      </x:c>
      <x:c r="H66" s="500" t="n">
        <x:f>$R$18+A66*($R$19-$R$18)</x:f>
        <x:v>-0.33387074925105675</x:v>
      </x:c>
      <x:c r="I66" s="500" t="n">
        <x:f>SQRT(MAX(0,1/($B$8-H66*$R$6)-H66^2*$R$7^2))</x:f>
        <x:v>0.28938986895293817</x:v>
      </x:c>
      <x:c r="J66" s="500" t="n">
        <x:f>-I66</x:f>
        <x:v>-0.28938986895293817</x:v>
      </x:c>
      <x:c r="K66" s="500" t="n">
        <x:f>(H66-($R$18+$R$19)/2)/$R$22</x:f>
        <x:v>-0.48595089654388846</x:v>
      </x:c>
      <x:c r="L66" s="500" t="n">
        <x:f>I66/$R$22</x:f>
        <x:v>0.40002550074727133</x:v>
      </x:c>
      <x:c r="M66" s="500" t="n">
        <x:f>-L66</x:f>
        <x:v>-0.40002550074727133</x:v>
      </x:c>
      <x:c r="N66" s="500" t="n">
        <x:f>-$B$9/2+A66*$B$9</x:f>
        <x:v>-0.4854101966249684</x:v>
      </x:c>
      <x:c r="O66" s="500" t="n">
        <x:f>0.5*SQRT(MAX(0,1-(2*N66/$B$9)^2))</x:f>
        <x:v>0.4</x:v>
      </x:c>
      <x:c r="P66" s="500" t="n">
        <x:f>-O66</x:f>
        <x:v>-0.4</x:v>
      </x:c>
      <x:c r="Q66" s="430"/>
      <x:c r="R66" s="430"/>
      <x:c r="S66" s="430"/>
      <x:c r="T66" s="430"/>
    </x:row>
    <x:row r="67">
      <x:c r="A67" s="500" t="n">
        <x:v>0.225</x:v>
      </x:c>
      <x:c r="B67" s="500" t="n">
        <x:f>$R$16+A67*($R$17-$R$16)</x:f>
        <x:v>-0.11175712817086235</x:v>
      </x:c>
      <x:c r="C67" s="500" t="n">
        <x:f>SQRT(MAX(0,1/($B$8-B67*$R$6)^2-B67^2*$R$7^2))</x:f>
        <x:v>0.1091988304583796</x:v>
      </x:c>
      <x:c r="D67" s="500" t="n">
        <x:f>-C67</x:f>
        <x:v>-0.1091988304583796</x:v>
      </x:c>
      <x:c r="E67" s="500" t="n">
        <x:f>(B67-($R$16+$R$17)/2)/$R$21</x:f>
        <x:v>-0.44495934690622185</x:v>
      </x:c>
      <x:c r="F67" s="500" t="n">
        <x:f>C67/$R$21</x:f>
        <x:v>0.4175869836607326</x:v>
      </x:c>
      <x:c r="G67" s="500" t="n">
        <x:f>-F67</x:f>
        <x:v>-0.4175869836607326</x:v>
      </x:c>
      <x:c r="H67" s="500" t="n">
        <x:f>$R$18+A67*($R$19-$R$18)</x:f>
        <x:v>-0.3045748531132491</x:v>
      </x:c>
      <x:c r="I67" s="500" t="n">
        <x:f>SQRT(MAX(0,1/($B$8-H67*$R$6)-H67^2*$R$7^2))</x:f>
        <x:v>0.30210868402654933</x:v>
      </x:c>
      <x:c r="J67" s="500" t="n">
        <x:f>-I67</x:f>
        <x:v>-0.30210868402654933</x:v>
      </x:c>
      <x:c r="K67" s="500" t="n">
        <x:f>(H67-($R$18+$R$19)/2)/$R$22</x:f>
        <x:v>-0.4454549884985644</x:v>
      </x:c>
      <x:c r="L67" s="500" t="n">
        <x:f>I67/$R$22</x:f>
        <x:v>0.4176068016654477</x:v>
      </x:c>
      <x:c r="M67" s="500" t="n">
        <x:f>-L67</x:f>
        <x:v>-0.4176068016654477</x:v>
      </x:c>
      <x:c r="N67" s="500" t="n">
        <x:f>-$B$9/2+A67*$B$9</x:f>
        <x:v>-0.4449593469062211</x:v>
      </x:c>
      <x:c r="O67" s="500" t="n">
        <x:f>0.5*SQRT(MAX(0,1-(2*N67/$B$9)^2))</x:f>
        <x:v>0.41758232721225164</x:v>
      </x:c>
      <x:c r="P67" s="500" t="n">
        <x:f>-O67</x:f>
        <x:v>-0.41758232721225164</x:v>
      </x:c>
      <x:c r="Q67" s="430"/>
      <x:c r="R67" s="430"/>
      <x:c r="S67" s="430"/>
      <x:c r="T67" s="430"/>
    </x:row>
    <x:row r="68">
      <x:c r="A68" s="500" t="n">
        <x:v>0.25</x:v>
      </x:c>
      <x:c r="B68" s="500" t="n">
        <x:f>$R$16+A68*($R$17-$R$16)</x:f>
        <x:v>-0.1011792470271253</x:v>
      </x:c>
      <x:c r="C68" s="500" t="n">
        <x:f>SQRT(MAX(0,1/($B$8-B68*$R$6)^2-B68^2*$R$7^2))</x:f>
        <x:v>0.11323379905860034</x:v>
      </x:c>
      <x:c r="D68" s="500" t="n">
        <x:f>-C68</x:f>
        <x:v>-0.11323379905860034</x:v>
      </x:c>
      <x:c r="E68" s="500" t="n">
        <x:f>(B68-($R$16+$R$17)/2)/$R$21</x:f>
        <x:v>-0.4045084971874744</x:v>
      </x:c>
      <x:c r="F68" s="500" t="n">
        <x:f>C68/$R$21</x:f>
        <x:v>0.43301709733373717</x:v>
      </x:c>
      <x:c r="G68" s="500" t="n">
        <x:f>-F68</x:f>
        <x:v>-0.43301709733373717</x:v>
      </x:c>
      <x:c r="H68" s="500" t="n">
        <x:f>$R$18+A68*($R$19-$R$18)</x:f>
        <x:v>-0.27527895697544147</x:v>
      </x:c>
      <x:c r="I68" s="500" t="n">
        <x:f>SQRT(MAX(0,1/($B$8-H68*$R$6)-H68^2*$R$7^2))</x:f>
        <x:v>0.3132704917132538</x:v>
      </x:c>
      <x:c r="J68" s="500" t="n">
        <x:f>-I68</x:f>
        <x:v>-0.3132704917132538</x:v>
      </x:c>
      <x:c r="K68" s="500" t="n">
        <x:f>(H68-($R$18+$R$19)/2)/$R$22</x:f>
        <x:v>-0.4049590804532404</x:v>
      </x:c>
      <x:c r="L68" s="500" t="n">
        <x:f>I68/$R$22</x:f>
        <x:v>0.4330358411313898</x:v>
      </x:c>
      <x:c r="M68" s="500" t="n">
        <x:f>-L68</x:f>
        <x:v>-0.4330358411313898</x:v>
      </x:c>
      <x:c r="N68" s="500" t="n">
        <x:f>-$B$9/2+A68*$B$9</x:f>
        <x:v>-0.4045084971874737</x:v>
      </x:c>
      <x:c r="O68" s="500" t="n">
        <x:f>0.5*SQRT(MAX(0,1-(2*N68/$B$9)^2))</x:f>
        <x:v>0.4330127018922193</x:v>
      </x:c>
      <x:c r="P68" s="500" t="n">
        <x:f>-O68</x:f>
        <x:v>-0.4330127018922193</x:v>
      </x:c>
      <x:c r="Q68" s="430"/>
      <x:c r="R68" s="430"/>
      <x:c r="S68" s="430"/>
      <x:c r="T68" s="430"/>
    </x:row>
    <x:row r="69">
      <x:c r="A69" s="500" t="n">
        <x:v>0.275</x:v>
      </x:c>
      <x:c r="B69" s="500" t="n">
        <x:f>$R$16+A69*($R$17-$R$16)</x:f>
        <x:v>-0.09060136588338825</x:v>
      </x:c>
      <x:c r="C69" s="500" t="n">
        <x:f>SQRT(MAX(0,1/($B$8-B69*$R$6)^2-B69^2*$R$7^2))</x:f>
        <x:v>0.11676437446306802</x:v>
      </x:c>
      <x:c r="D69" s="500" t="n">
        <x:f>-C69</x:f>
        <x:v>-0.11676437446306802</x:v>
      </x:c>
      <x:c r="E69" s="500" t="n">
        <x:f>(B69-($R$16+$R$17)/2)/$R$21</x:f>
        <x:v>-0.36405764746872693</x:v>
      </x:c>
      <x:c r="F69" s="500" t="n">
        <x:f>C69/$R$21</x:f>
        <x:v>0.4465183622058033</x:v>
      </x:c>
      <x:c r="G69" s="500" t="n">
        <x:f>-F69</x:f>
        <x:v>-0.4465183622058033</x:v>
      </x:c>
      <x:c r="H69" s="500" t="n">
        <x:f>$R$18+A69*($R$19-$R$18)</x:f>
        <x:v>-0.24598306083763377</x:v>
      </x:c>
      <x:c r="I69" s="500" t="n">
        <x:f>SQRT(MAX(0,1/($B$8-H69*$R$6)-H69^2*$R$7^2))</x:f>
        <x:v>0.3230367584364334</x:v>
      </x:c>
      <x:c r="J69" s="500" t="n">
        <x:f>-I69</x:f>
        <x:v>-0.3230367584364334</x:v>
      </x:c>
      <x:c r="K69" s="500" t="n">
        <x:f>(H69-($R$18+$R$19)/2)/$R$22</x:f>
        <x:v>-0.3644631724079163</x:v>
      </x:c>
      <x:c r="L69" s="500" t="n">
        <x:f>I69/$R$22</x:f>
        <x:v>0.4465358152338235</x:v>
      </x:c>
      <x:c r="M69" s="500" t="n">
        <x:f>-L69</x:f>
        <x:v>-0.4465358152338235</x:v>
      </x:c>
      <x:c r="N69" s="500" t="n">
        <x:f>-$B$9/2+A69*$B$9</x:f>
        <x:v>-0.3640576474687263</x:v>
      </x:c>
      <x:c r="O69" s="500" t="n">
        <x:f>0.5*SQRT(MAX(0,1-(2*N69/$B$9)^2))</x:f>
        <x:v>0.44651427748729383</x:v>
      </x:c>
      <x:c r="P69" s="500" t="n">
        <x:f>-O69</x:f>
        <x:v>-0.44651427748729383</x:v>
      </x:c>
      <x:c r="Q69" s="430"/>
      <x:c r="R69" s="430"/>
      <x:c r="S69" s="430"/>
      <x:c r="T69" s="430"/>
    </x:row>
    <x:row r="70">
      <x:c r="A70" s="500" t="n">
        <x:v>0.3</x:v>
      </x:c>
      <x:c r="B70" s="500" t="n">
        <x:f>$R$16+A70*($R$17-$R$16)</x:f>
        <x:v>-0.08002348473965121</x:v>
      </x:c>
      <x:c r="C70" s="500" t="n">
        <x:f>SQRT(MAX(0,1/($B$8-B70*$R$6)^2-B70^2*$R$7^2))</x:f>
        <x:v>0.11983514825758718</x:v>
      </x:c>
      <x:c r="D70" s="500" t="n">
        <x:f>-C70</x:f>
        <x:v>-0.11983514825758718</x:v>
      </x:c>
      <x:c r="E70" s="500" t="n">
        <x:f>(B70-($R$16+$R$17)/2)/$R$21</x:f>
        <x:v>-0.3236067977499795</x:v>
      </x:c>
      <x:c r="F70" s="500" t="n">
        <x:f>C70/$R$21</x:f>
        <x:v>0.4582613008524441</x:v>
      </x:c>
      <x:c r="G70" s="500" t="n">
        <x:f>-F70</x:f>
        <x:v>-0.4582613008524441</x:v>
      </x:c>
      <x:c r="H70" s="500" t="n">
        <x:f>$R$18+A70*($R$19-$R$18)</x:f>
        <x:v>-0.21668716469982618</x:v>
      </x:c>
      <x:c r="I70" s="500" t="n">
        <x:f>SQRT(MAX(0,1/($B$8-H70*$R$6)-H70^2*$R$7^2))</x:f>
        <x:v>0.3315308660790239</x:v>
      </x:c>
      <x:c r="J70" s="500" t="n">
        <x:f>-I70</x:f>
        <x:v>-0.3315308660790239</x:v>
      </x:c>
      <x:c r="K70" s="500" t="n">
        <x:f>(H70-($R$18+$R$19)/2)/$R$22</x:f>
        <x:v>-0.3239672643625923</x:v>
      </x:c>
      <x:c r="L70" s="500" t="n">
        <x:f>I70/$R$22</x:f>
        <x:v>0.4582772755531585</x:v>
      </x:c>
      <x:c r="M70" s="500" t="n">
        <x:f>-L70</x:f>
        <x:v>-0.4582772755531585</x:v>
      </x:c>
      <x:c r="N70" s="500" t="n">
        <x:f>-$B$9/2+A70*$B$9</x:f>
        <x:v>-0.323606797749979</x:v>
      </x:c>
      <x:c r="O70" s="500" t="n">
        <x:f>0.5*SQRT(MAX(0,1-(2*N70/$B$9)^2))</x:f>
        <x:v>0.458257569495584</x:v>
      </x:c>
      <x:c r="P70" s="500" t="n">
        <x:f>-O70</x:f>
        <x:v>-0.458257569495584</x:v>
      </x:c>
      <x:c r="Q70" s="430"/>
      <x:c r="R70" s="430"/>
      <x:c r="S70" s="430"/>
      <x:c r="T70" s="430"/>
    </x:row>
    <x:row r="71">
      <x:c r="A71" s="500" t="n">
        <x:v>0.325</x:v>
      </x:c>
      <x:c r="B71" s="500" t="n">
        <x:f>$R$16+A71*($R$17-$R$16)</x:f>
        <x:v>-0.06944560359591417</x:v>
      </x:c>
      <x:c r="C71" s="500" t="n">
        <x:f>SQRT(MAX(0,1/($B$8-B71*$R$6)^2-B71^2*$R$7^2))</x:f>
        <x:v>0.12248071111551287</x:v>
      </x:c>
      <x:c r="D71" s="500" t="n">
        <x:f>-C71</x:f>
        <x:v>-0.12248071111551287</x:v>
      </x:c>
      <x:c r="E71" s="500" t="n">
        <x:f>(B71-($R$16+$R$17)/2)/$R$21</x:f>
        <x:v>-0.2831559480312321</x:v>
      </x:c>
      <x:c r="F71" s="500" t="n">
        <x:f>C71/$R$21</x:f>
        <x:v>0.468378191384043</x:v>
      </x:c>
      <x:c r="G71" s="500" t="n">
        <x:f>-F71</x:f>
        <x:v>-0.468378191384043</x:v>
      </x:c>
      <x:c r="H71" s="500" t="n">
        <x:f>$R$18+A71*($R$19-$R$18)</x:f>
        <x:v>-0.1873912685620185</x:v>
      </x:c>
      <x:c r="I71" s="500" t="n">
        <x:f>SQRT(MAX(0,1/($B$8-H71*$R$6)-H71^2*$R$7^2))</x:f>
        <x:v>0.33884852666291126</x:v>
      </x:c>
      <x:c r="J71" s="500" t="n">
        <x:f>-I71</x:f>
        <x:v>-0.33884852666291126</x:v>
      </x:c>
      <x:c r="K71" s="500" t="n">
        <x:f>(H71-($R$18+$R$19)/2)/$R$22</x:f>
        <x:v>-0.2834713563172683</x:v>
      </x:c>
      <x:c r="L71" s="500" t="n">
        <x:f>I71/$R$22</x:f>
        <x:v>0.4683925254406525</x:v>
      </x:c>
      <x:c r="M71" s="500" t="n">
        <x:f>-L71</x:f>
        <x:v>-0.4683925254406525</x:v>
      </x:c>
      <x:c r="N71" s="500" t="n">
        <x:f>-$B$9/2+A71*$B$9</x:f>
        <x:v>-0.28315594803123156</x:v>
      </x:c>
      <x:c r="O71" s="500" t="n">
        <x:f>0.5*SQRT(MAX(0,1-(2*N71/$B$9)^2))</x:f>
        <x:v>0.4683748498798799</x:v>
      </x:c>
      <x:c r="P71" s="500" t="n">
        <x:f>-O71</x:f>
        <x:v>-0.4683748498798799</x:v>
      </x:c>
      <x:c r="Q71" s="430"/>
      <x:c r="R71" s="430"/>
      <x:c r="S71" s="430"/>
      <x:c r="T71" s="430"/>
    </x:row>
    <x:row r="72">
      <x:c r="A72" s="500" t="n">
        <x:v>0.35</x:v>
      </x:c>
      <x:c r="B72" s="500" t="n">
        <x:f>$R$16+A72*($R$17-$R$16)</x:f>
        <x:v>-0.05886772245217714</x:v>
      </x:c>
      <x:c r="C72" s="500" t="n">
        <x:f>SQRT(MAX(0,1/($B$8-B72*$R$6)^2-B72^2*$R$7^2))</x:f>
        <x:v>0.12472812498559963</x:v>
      </x:c>
      <x:c r="D72" s="500" t="n">
        <x:f>-C72</x:f>
        <x:v>-0.12472812498559963</x:v>
      </x:c>
      <x:c r="E72" s="500" t="n">
        <x:f>(B72-($R$16+$R$17)/2)/$R$21</x:f>
        <x:v>-0.2427050983124847</x:v>
      </x:c>
      <x:c r="F72" s="500" t="n">
        <x:f>C72/$R$21</x:f>
        <x:v>0.4769725213334331</x:v>
      </x:c>
      <x:c r="G72" s="500" t="n">
        <x:f>-F72</x:f>
        <x:v>-0.4769725213334331</x:v>
      </x:c>
      <x:c r="H72" s="500" t="n">
        <x:f>$R$18+A72*($R$19-$R$18)</x:f>
        <x:v>-0.1580953724242109</x:v>
      </x:c>
      <x:c r="I72" s="500" t="n">
        <x:f>SQRT(MAX(0,1/($B$8-H72*$R$6)-H72^2*$R$7^2))</x:f>
        <x:v>0.3450646223021635</x:v>
      </x:c>
      <x:c r="J72" s="500" t="n">
        <x:f>-I72</x:f>
        <x:v>-0.3450646223021635</x:v>
      </x:c>
      <x:c r="K72" s="500" t="n">
        <x:f>(H72-($R$18+$R$19)/2)/$R$22</x:f>
        <x:v>-0.2429754482719443</x:v>
      </x:c>
      <x:c r="L72" s="500" t="n">
        <x:f>I72/$R$22</x:f>
        <x:v>0.47698507493031417</x:v>
      </x:c>
      <x:c r="M72" s="500" t="n">
        <x:f>-L72</x:f>
        <x:v>-0.47698507493031417</x:v>
      </x:c>
      <x:c r="N72" s="500" t="n">
        <x:f>-$B$9/2+A72*$B$9</x:f>
        <x:v>-0.24270509831248432</x:v>
      </x:c>
      <x:c r="O72" s="500" t="n">
        <x:f>0.5*SQRT(MAX(0,1-(2*N72/$B$9)^2))</x:f>
        <x:v>0.47696960070847283</x:v>
      </x:c>
      <x:c r="P72" s="500" t="n">
        <x:f>-O72</x:f>
        <x:v>-0.47696960070847283</x:v>
      </x:c>
      <x:c r="Q72" s="430"/>
      <x:c r="R72" s="430"/>
      <x:c r="S72" s="430"/>
      <x:c r="T72" s="430"/>
    </x:row>
    <x:row r="73">
      <x:c r="A73" s="500" t="n">
        <x:v>0.375</x:v>
      </x:c>
      <x:c r="B73" s="500" t="n">
        <x:f>$R$16+A73*($R$17-$R$16)</x:f>
        <x:v>-0.04828984130844008</x:v>
      </x:c>
      <x:c r="C73" s="500" t="n">
        <x:f>SQRT(MAX(0,1/($B$8-B73*$R$6)^2-B73^2*$R$7^2))</x:f>
        <x:v>0.12659859781285857</x:v>
      </x:c>
      <x:c r="D73" s="500" t="n">
        <x:f>-C73</x:f>
        <x:v>-0.12659859781285857</x:v>
      </x:c>
      <x:c r="E73" s="500" t="n">
        <x:f>(B73-($R$16+$R$17)/2)/$R$21</x:f>
        <x:v>-0.20225424859373722</x:v>
      </x:c>
      <x:c r="F73" s="500" t="n">
        <x:f>C73/$R$21</x:f>
        <x:v>0.48412539195187926</x:v>
      </x:c>
      <x:c r="G73" s="500" t="n">
        <x:f>-F73</x:f>
        <x:v>-0.48412539195187926</x:v>
      </x:c>
      <x:c r="H73" s="500" t="n">
        <x:f>$R$18+A73*($R$19-$R$18)</x:f>
        <x:v>-0.1287994762864032</x:v>
      </x:c>
      <x:c r="I73" s="500" t="n">
        <x:f>SQRT(MAX(0,1/($B$8-H73*$R$6)-H73^2*$R$7^2))</x:f>
        <x:v>0.35023783878043063</x:v>
      </x:c>
      <x:c r="J73" s="500" t="n">
        <x:f>-I73</x:f>
        <x:v>-0.35023783878043063</x:v>
      </x:c>
      <x:c r="K73" s="500" t="n">
        <x:f>(H73-($R$18+$R$19)/2)/$R$22</x:f>
        <x:v>-0.2024795402266202</x:v>
      </x:c>
      <x:c r="L73" s="500" t="n">
        <x:f>I73/$R$22</x:f>
        <x:v>0.484136045763123</x:v>
      </x:c>
      <x:c r="M73" s="500" t="n">
        <x:f>-L73</x:f>
        <x:v>-0.484136045763123</x:v>
      </x:c>
      <x:c r="N73" s="500" t="n">
        <x:f>-$B$9/2+A73*$B$9</x:f>
        <x:v>-0.20225424859373686</x:v>
      </x:c>
      <x:c r="O73" s="500" t="n">
        <x:f>0.5*SQRT(MAX(0,1-(2*N73/$B$9)^2))</x:f>
        <x:v>0.4841229182759271</x:v>
      </x:c>
      <x:c r="P73" s="500" t="n">
        <x:f>-O73</x:f>
        <x:v>-0.4841229182759271</x:v>
      </x:c>
      <x:c r="Q73" s="430"/>
      <x:c r="R73" s="430"/>
      <x:c r="S73" s="430"/>
      <x:c r="T73" s="430"/>
    </x:row>
    <x:row r="74">
      <x:c r="A74" s="500" t="n">
        <x:v>0.4</x:v>
      </x:c>
      <x:c r="B74" s="500" t="n">
        <x:f>$R$16+A74*($R$17-$R$16)</x:f>
        <x:v>-0.03771196016470302</x:v>
      </x:c>
      <x:c r="C74" s="500" t="n">
        <x:f>SQRT(MAX(0,1/($B$8-B74*$R$6)^2-B74^2*$R$7^2))</x:f>
        <x:v>0.1281086434417014</x:v>
      </x:c>
      <x:c r="D74" s="500" t="n">
        <x:f>-C74</x:f>
        <x:v>-0.1281086434417014</x:v>
      </x:c>
      <x:c r="E74" s="500" t="n">
        <x:f>(B74-($R$16+$R$17)/2)/$R$21</x:f>
        <x:v>-0.16180339887498973</x:v>
      </x:c>
      <x:c r="F74" s="500" t="n">
        <x:f>C74/$R$21</x:f>
        <x:v>0.48989995379188805</x:v>
      </x:c>
      <x:c r="G74" s="500" t="n">
        <x:f>-F74</x:f>
        <x:v>-0.48989995379188805</x:v>
      </x:c>
      <x:c r="H74" s="500" t="n">
        <x:f>$R$18+A74*($R$19-$R$18)</x:f>
        <x:v>-0.0995035801485955</x:v>
      </x:c>
      <x:c r="I74" s="500" t="n">
        <x:f>SQRT(MAX(0,1/($B$8-H74*$R$6)-H74^2*$R$7^2))</x:f>
        <x:v>0.354413874767774</x:v>
      </x:c>
      <x:c r="J74" s="500" t="n">
        <x:f>-I74</x:f>
        <x:v>-0.354413874767774</x:v>
      </x:c>
      <x:c r="K74" s="500" t="n">
        <x:f>(H74-($R$18+$R$19)/2)/$R$22</x:f>
        <x:v>-0.1619836321812961</x:v>
      </x:c>
      <x:c r="L74" s="500" t="n">
        <x:f>I74/$R$22</x:f>
        <x:v>0.48990860750835574</x:v>
      </x:c>
      <x:c r="M74" s="500" t="n">
        <x:f>-L74</x:f>
        <x:v>-0.48990860750835574</x:v>
      </x:c>
      <x:c r="N74" s="500" t="n">
        <x:f>-$B$9/2+A74*$B$9</x:f>
        <x:v>-0.1618033988749894</x:v>
      </x:c>
      <x:c r="O74" s="500" t="n">
        <x:f>0.5*SQRT(MAX(0,1-(2*N74/$B$9)^2))</x:f>
        <x:v>0.48989794855663565</x:v>
      </x:c>
      <x:c r="P74" s="500" t="n">
        <x:f>-O74</x:f>
        <x:v>-0.48989794855663565</x:v>
      </x:c>
      <x:c r="Q74" s="430"/>
      <x:c r="R74" s="430"/>
      <x:c r="S74" s="430"/>
      <x:c r="T74" s="430"/>
    </x:row>
    <x:row r="75">
      <x:c r="A75" s="500" t="n">
        <x:v>0.425</x:v>
      </x:c>
      <x:c r="B75" s="500" t="n">
        <x:f>$R$16+A75*($R$17-$R$16)</x:f>
        <x:v>-0.027134079020965984</x:v>
      </x:c>
      <x:c r="C75" s="500" t="n">
        <x:f>SQRT(MAX(0,1/($B$8-B75*$R$6)^2-B75^2*$R$7^2))</x:f>
        <x:v>0.12927089520037618</x:v>
      </x:c>
      <x:c r="D75" s="500" t="n">
        <x:f>-C75</x:f>
        <x:v>-0.12927089520037618</x:v>
      </x:c>
      <x:c r="E75" s="500" t="n">
        <x:f>(B75-($R$16+$R$17)/2)/$R$21</x:f>
        <x:v>-0.12135254915624233</x:v>
      </x:c>
      <x:c r="F75" s="500" t="n">
        <x:f>C75/$R$21</x:f>
        <x:v>0.4943445179334827</x:v>
      </x:c>
      <x:c r="G75" s="500" t="n">
        <x:f>-F75</x:f>
        <x:v>-0.4943445179334827</x:v>
      </x:c>
      <x:c r="H75" s="500" t="n">
        <x:f>$R$18+A75*($R$19-$R$18)</x:f>
        <x:v>-0.07020768401078792</x:v>
      </x:c>
      <x:c r="I75" s="500" t="n">
        <x:f>SQRT(MAX(0,1/($B$8-H75*$R$6)-H75^2*$R$7^2))</x:f>
        <x:v>0.3576276928700306</x:v>
      </x:c>
      <x:c r="J75" s="500" t="n">
        <x:f>-I75</x:f>
        <x:v>-0.3576276928700306</x:v>
      </x:c>
      <x:c r="K75" s="500" t="n">
        <x:f>(H75-($R$18+$R$19)/2)/$R$22</x:f>
        <x:v>-0.12148772413597216</x:v>
      </x:c>
      <x:c r="L75" s="500" t="n">
        <x:f>I75/$R$22</x:f>
        <x:v>0.4943510892037842</x:v>
      </x:c>
      <x:c r="M75" s="500" t="n">
        <x:f>-L75</x:f>
        <x:v>-0.4943510892037842</x:v>
      </x:c>
      <x:c r="N75" s="500" t="n">
        <x:f>-$B$9/2+A75*$B$9</x:f>
        <x:v>-0.12135254915624216</x:v>
      </x:c>
      <x:c r="O75" s="500" t="n">
        <x:f>0.5*SQRT(MAX(0,1-(2*N75/$B$9)^2))</x:f>
        <x:v>0.49434299833212975</x:v>
      </x:c>
      <x:c r="P75" s="500" t="n">
        <x:f>-O75</x:f>
        <x:v>-0.49434299833212975</x:v>
      </x:c>
      <x:c r="Q75" s="430"/>
      <x:c r="R75" s="430"/>
      <x:c r="S75" s="430"/>
      <x:c r="T75" s="430"/>
    </x:row>
    <x:row r="76">
      <x:c r="A76" s="500" t="n">
        <x:v>0.45</x:v>
      </x:c>
      <x:c r="B76" s="500" t="n">
        <x:f>$R$16+A76*($R$17-$R$16)</x:f>
        <x:v>-0.01655619787722895</x:v>
      </x:c>
      <x:c r="C76" s="500" t="n">
        <x:f>SQRT(MAX(0,1/($B$8-B76*$R$6)^2-B76^2*$R$7^2))</x:f>
        <x:v>0.130094676869907</x:v>
      </x:c>
      <x:c r="D76" s="500" t="n">
        <x:f>-C76</x:f>
        <x:v>-0.130094676869907</x:v>
      </x:c>
      <x:c r="E76" s="500" t="n">
        <x:f>(B76-($R$16+$R$17)/2)/$R$21</x:f>
        <x:v>-0.08090169943749494</x:v>
      </x:c>
      <x:c r="F76" s="500" t="n">
        <x:f>C76/$R$21</x:f>
        <x:v>0.497494739425145</x:v>
      </x:c>
      <x:c r="G76" s="500" t="n">
        <x:f>-F76</x:f>
        <x:v>-0.497494739425145</x:v>
      </x:c>
      <x:c r="H76" s="500" t="n">
        <x:f>$R$18+A76*($R$19-$R$18)</x:f>
        <x:v>-0.04091178787298022</x:v>
      </x:c>
      <x:c r="I76" s="500" t="n">
        <x:f>SQRT(MAX(0,1/($B$8-H76*$R$6)-H76^2*$R$7^2))</x:f>
        <x:v>0.3599050994318663</x:v>
      </x:c>
      <x:c r="J76" s="500" t="n">
        <x:f>-I76</x:f>
        <x:v>-0.3599050994318663</x:v>
      </x:c>
      <x:c r="K76" s="500" t="n">
        <x:f>(H76-($R$18+$R$19)/2)/$R$22</x:f>
        <x:v>-0.08099181609064805</x:v>
      </x:c>
      <x:c r="L76" s="500" t="n">
        <x:f>I76/$R$22</x:f>
        <x:v>0.4974991631277252</x:v>
      </x:c>
      <x:c r="M76" s="500" t="n">
        <x:f>-L76</x:f>
        <x:v>-0.4974991631277252</x:v>
      </x:c>
      <x:c r="N76" s="500" t="n">
        <x:f>-$B$9/2+A76*$B$9</x:f>
        <x:v>-0.0809016994374947</x:v>
      </x:c>
      <x:c r="O76" s="500" t="n">
        <x:f>0.5*SQRT(MAX(0,1-(2*N76/$B$9)^2))</x:f>
        <x:v>0.49749371855331</x:v>
      </x:c>
      <x:c r="P76" s="500" t="n">
        <x:f>-O76</x:f>
        <x:v>-0.49749371855331</x:v>
      </x:c>
      <x:c r="Q76" s="430"/>
      <x:c r="R76" s="430"/>
      <x:c r="S76" s="430"/>
      <x:c r="T76" s="430"/>
    </x:row>
    <x:row r="77">
      <x:c r="A77" s="500" t="n">
        <x:v>0.475</x:v>
      </x:c>
      <x:c r="B77" s="500" t="n">
        <x:f>$R$16+A77*($R$17-$R$16)</x:f>
        <x:v>-0.005978316733491917</x:v>
      </x:c>
      <x:c r="C77" s="500" t="n">
        <x:f>SQRT(MAX(0,1/($B$8-B77*$R$6)^2-B77^2*$R$7^2))</x:f>
        <x:v>0.13058639613919568</x:v>
      </x:c>
      <x:c r="D77" s="500" t="n">
        <x:f>-C77</x:f>
        <x:v>-0.13058639613919568</x:v>
      </x:c>
      <x:c r="E77" s="500" t="n">
        <x:f>(B77-($R$16+$R$17)/2)/$R$21</x:f>
        <x:v>-0.04045084971874755</x:v>
      </x:c>
      <x:c r="F77" s="500" t="n">
        <x:f>C77/$R$21</x:f>
        <x:v>0.4993751218945193</x:v>
      </x:c>
      <x:c r="G77" s="500" t="n">
        <x:f>-F77</x:f>
        <x:v>-0.4993751218945193</x:v>
      </x:c>
      <x:c r="H77" s="500" t="n">
        <x:f>$R$18+A77*($R$19-$R$18)</x:f>
        <x:v>-0.011615891735172634</x:v>
      </x:c>
      <x:c r="I77" s="500" t="n">
        <x:f>SQRT(MAX(0,1/($B$8-H77*$R$6)-H77^2*$R$7^2))</x:f>
        <x:v>0.3612638332150719</x:v>
      </x:c>
      <x:c r="J77" s="500" t="n">
        <x:f>-I77</x:f>
        <x:v>-0.3612638332150719</x:v>
      </x:c>
      <x:c r="K77" s="500" t="n">
        <x:f>(H77-($R$18+$R$19)/2)/$R$22</x:f>
        <x:v>-0.0404959080453241</x:v>
      </x:c>
      <x:c r="L77" s="500" t="n">
        <x:f>I77/$R$22</x:f>
        <x:v>0.4993773496861407</x:v>
      </x:c>
      <x:c r="M77" s="500" t="n">
        <x:f>-L77</x:f>
        <x:v>-0.4993773496861407</x:v>
      </x:c>
      <x:c r="N77" s="500" t="n">
        <x:f>-$B$9/2+A77*$B$9</x:f>
        <x:v>-0.04045084971874746</x:v>
      </x:c>
      <x:c r="O77" s="500" t="n">
        <x:f>0.5*SQRT(MAX(0,1-(2*N77/$B$9)^2))</x:f>
        <x:v>0.4993746088859545</x:v>
      </x:c>
      <x:c r="P77" s="500" t="n">
        <x:f>-O77</x:f>
        <x:v>-0.4993746088859545</x:v>
      </x:c>
      <x:c r="Q77" s="430"/>
      <x:c r="R77" s="430"/>
      <x:c r="S77" s="430"/>
      <x:c r="T77" s="430"/>
    </x:row>
    <x:row r="78">
      <x:c r="A78" s="500" t="n">
        <x:v>0.5</x:v>
      </x:c>
      <x:c r="B78" s="500" t="n">
        <x:f>$R$16+A78*($R$17-$R$16)</x:f>
        <x:v>0.004599564410245144</x:v>
      </x:c>
      <x:c r="C78" s="500" t="n">
        <x:f>SQRT(MAX(0,1/($B$8-B78*$R$6)^2-B78^2*$R$7^2))</x:f>
        <x:v>0.1307498014880381</x:v>
      </x:c>
      <x:c r="D78" s="500" t="n">
        <x:f>-C78</x:f>
        <x:v>-0.1307498014880381</x:v>
      </x:c>
      <x:c r="E78" s="500" t="n">
        <x:f>(B78-($R$16+$R$17)/2)/$R$21</x:f>
        <x:v>-5.307001481813237e-17</x:v>
      </x:c>
      <x:c r="F78" s="500" t="n">
        <x:f>C78/$R$21</x:f>
        <x:v>0.49999999989413446</x:v>
      </x:c>
      <x:c r="G78" s="500" t="n">
        <x:f>-F78</x:f>
        <x:v>-0.49999999989413446</x:v>
      </x:c>
      <x:c r="H78" s="500" t="n">
        <x:f>$R$18+A78*($R$19-$R$18)</x:f>
        <x:v>0.017680004402635063</x:v>
      </x:c>
      <x:c r="I78" s="500" t="n">
        <x:f>SQRT(MAX(0,1/($B$8-H78*$R$6)-H78^2*$R$7^2))</x:f>
        <x:v>0.36171427623031627</x:v>
      </x:c>
      <x:c r="J78" s="500" t="n">
        <x:f>-I78</x:f>
        <x:v>-0.36171427623031627</x:v>
      </x:c>
      <x:c r="K78" s="500" t="n">
        <x:f>(H78-($R$18+$R$19)/2)/$R$22</x:f>
        <x:v>0</x:v>
      </x:c>
      <x:c r="L78" s="500" t="n">
        <x:f>I78/$R$22</x:f>
        <x:v>0.5</x:v>
      </x:c>
      <x:c r="M78" s="500" t="n">
        <x:f>-L78</x:f>
        <x:v>-0.5</x:v>
      </x:c>
      <x:c r="N78" s="500" t="n">
        <x:f>-$B$9/2+A78*$B$9</x:f>
        <x:v>0</x:v>
      </x:c>
      <x:c r="O78" s="500" t="n">
        <x:f>0.5*SQRT(MAX(0,1-(2*N78/$B$9)^2))</x:f>
        <x:v>0.5</x:v>
      </x:c>
      <x:c r="P78" s="500" t="n">
        <x:f>-O78</x:f>
        <x:v>-0.5</x:v>
      </x:c>
      <x:c r="Q78" s="430"/>
      <x:c r="R78" s="430"/>
      <x:c r="S78" s="430"/>
      <x:c r="T78" s="430"/>
    </x:row>
    <x:row r="79">
      <x:c r="A79" s="500" t="n">
        <x:v>0.525</x:v>
      </x:c>
      <x:c r="B79" s="500" t="n">
        <x:f>$R$16+A79*($R$17-$R$16)</x:f>
        <x:v>0.015177445553982205</x:v>
      </x:c>
      <x:c r="C79" s="500" t="n">
        <x:f>SQRT(MAX(0,1/($B$8-B79*$R$6)^2-B79^2*$R$7^2))</x:f>
        <x:v>0.13058612741555203</x:v>
      </x:c>
      <x:c r="D79" s="500" t="n">
        <x:f>-C79</x:f>
        <x:v>-0.13058612741555203</x:v>
      </x:c>
      <x:c r="E79" s="500" t="n">
        <x:f>(B79-($R$16+$R$17)/2)/$R$21</x:f>
        <x:v>0.04045084971874744</x:v>
      </x:c>
      <x:c r="F79" s="500" t="n">
        <x:f>C79/$R$21</x:f>
        <x:v>0.4993740942690831</x:v>
      </x:c>
      <x:c r="G79" s="500" t="n">
        <x:f>-F79</x:f>
        <x:v>-0.4993740942690831</x:v>
      </x:c>
      <x:c r="H79" s="500" t="n">
        <x:f>$R$18+A79*($R$19-$R$18)</x:f>
        <x:v>0.04697590054044276</x:v>
      </x:c>
      <x:c r="I79" s="500" t="n">
        <x:f>SQRT(MAX(0,1/($B$8-H79*$R$6)-H79^2*$R$7^2))</x:f>
        <x:v>0.36125985566661367</x:v>
      </x:c>
      <x:c r="J79" s="500" t="n">
        <x:f>-I79</x:f>
        <x:v>-0.36125985566661367</x:v>
      </x:c>
      <x:c r="K79" s="500" t="n">
        <x:f>(H79-($R$18+$R$19)/2)/$R$22</x:f>
        <x:v>0.0404959080453241</x:v>
      </x:c>
      <x:c r="L79" s="500" t="n">
        <x:f>I79/$R$22</x:f>
        <x:v>0.4993718514949998</x:v>
      </x:c>
      <x:c r="M79" s="500" t="n">
        <x:f>-L79</x:f>
        <x:v>-0.4993718514949998</x:v>
      </x:c>
      <x:c r="N79" s="500" t="n">
        <x:f>-$B$9/2+A79*$B$9</x:f>
        <x:v>0.04045084971874746</x:v>
      </x:c>
      <x:c r="O79" s="500" t="n">
        <x:f>0.5*SQRT(MAX(0,1-(2*N79/$B$9)^2))</x:f>
        <x:v>0.4993746088859545</x:v>
      </x:c>
      <x:c r="P79" s="500" t="n">
        <x:f>-O79</x:f>
        <x:v>-0.4993746088859545</x:v>
      </x:c>
      <x:c r="Q79" s="430"/>
      <x:c r="R79" s="430"/>
      <x:c r="S79" s="430"/>
      <x:c r="T79" s="430"/>
    </x:row>
    <x:row r="80">
      <x:c r="A80" s="500" t="n">
        <x:v>0.55</x:v>
      </x:c>
      <x:c r="B80" s="500" t="n">
        <x:f>$R$16+A80*($R$17-$R$16)</x:f>
        <x:v>0.02575532669771924</x:v>
      </x:c>
      <x:c r="C80" s="500" t="n">
        <x:f>SQRT(MAX(0,1/($B$8-B80*$R$6)^2-B80^2*$R$7^2))</x:f>
        <x:v>0.13009414144406115</x:v>
      </x:c>
      <x:c r="D80" s="500" t="n">
        <x:f>-C80</x:f>
        <x:v>-0.13009414144406115</x:v>
      </x:c>
      <x:c r="E80" s="500" t="n">
        <x:f>(B80-($R$16+$R$17)/2)/$R$21</x:f>
        <x:v>0.08090169943749484</x:v>
      </x:c>
      <x:c r="F80" s="500" t="n">
        <x:f>C80/$R$21</x:f>
        <x:v>0.4974926919044618</x:v>
      </x:c>
      <x:c r="G80" s="500" t="n">
        <x:f>-F80</x:f>
        <x:v>-0.4974926919044618</x:v>
      </x:c>
      <x:c r="H80" s="500" t="n">
        <x:f>$R$18+A80*($R$19-$R$18)</x:f>
        <x:v>0.07627179667825046</x:v>
      </x:c>
      <x:c r="I80" s="500" t="n">
        <x:f>SQRT(MAX(0,1/($B$8-H80*$R$6)-H80^2*$R$7^2))</x:f>
        <x:v>0.35989717408126687</x:v>
      </x:c>
      <x:c r="J80" s="500" t="n">
        <x:f>-I80</x:f>
        <x:v>-0.35989717408126687</x:v>
      </x:c>
      <x:c r="K80" s="500" t="n">
        <x:f>(H80-($R$18+$R$19)/2)/$R$22</x:f>
        <x:v>0.0809918160906482</x:v>
      </x:c>
      <x:c r="L80" s="500" t="n">
        <x:f>I80/$R$22</x:f>
        <x:v>0.4974882078639711</x:v>
      </x:c>
      <x:c r="M80" s="500" t="n">
        <x:f>-L80</x:f>
        <x:v>-0.4974882078639711</x:v>
      </x:c>
      <x:c r="N80" s="500" t="n">
        <x:f>-$B$9/2+A80*$B$9</x:f>
        <x:v>0.08090169943749481</x:v>
      </x:c>
      <x:c r="O80" s="500" t="n">
        <x:f>0.5*SQRT(MAX(0,1-(2*N80/$B$9)^2))</x:f>
        <x:v>0.49749371855331</x:v>
      </x:c>
      <x:c r="P80" s="500" t="n">
        <x:f>-O80</x:f>
        <x:v>-0.49749371855331</x:v>
      </x:c>
      <x:c r="Q80" s="430"/>
      <x:c r="R80" s="430"/>
      <x:c r="S80" s="430"/>
      <x:c r="T80" s="430"/>
    </x:row>
    <x:row r="81">
      <x:c r="A81" s="500" t="n">
        <x:v>0.575</x:v>
      </x:c>
      <x:c r="B81" s="500" t="n">
        <x:f>$R$16+A81*($R$17-$R$16)</x:f>
        <x:v>0.03633320784145627</x:v>
      </x:c>
      <x:c r="C81" s="500" t="n">
        <x:f>SQRT(MAX(0,1/($B$8-B81*$R$6)^2-B81^2*$R$7^2))</x:f>
        <x:v>0.12927009714095636</x:v>
      </x:c>
      <x:c r="D81" s="500" t="n">
        <x:f>-C81</x:f>
        <x:v>-0.12927009714095636</x:v>
      </x:c>
      <x:c r="E81" s="500" t="n">
        <x:f>(B81-($R$16+$R$17)/2)/$R$21</x:f>
        <x:v>0.12135254915624223</x:v>
      </x:c>
      <x:c r="F81" s="500" t="n">
        <x:f>C81/$R$21</x:f>
        <x:v>0.49434146607638396</x:v>
      </x:c>
      <x:c r="G81" s="500" t="n">
        <x:f>-F81</x:f>
        <x:v>-0.49434146607638396</x:v>
      </x:c>
      <x:c r="H81" s="500" t="n">
        <x:f>$R$18+A81*($R$19-$R$18)</x:f>
        <x:v>0.10556769281605793</x:v>
      </x:c>
      <x:c r="I81" s="500" t="n">
        <x:f>SQRT(MAX(0,1/($B$8-H81*$R$6)-H81^2*$R$7^2))</x:f>
        <x:v>0.35761587959537394</x:v>
      </x:c>
      <x:c r="J81" s="500" t="n">
        <x:f>-I81</x:f>
        <x:v>-0.35761587959537394</x:v>
      </x:c>
      <x:c r="K81" s="500" t="n">
        <x:f>(H81-($R$18+$R$19)/2)/$R$22</x:f>
        <x:v>0.121487724135972</x:v>
      </x:c>
      <x:c r="L81" s="500" t="n">
        <x:f>I81/$R$22</x:f>
        <x:v>0.4943347596372824</x:v>
      </x:c>
      <x:c r="M81" s="500" t="n">
        <x:f>-L81</x:f>
        <x:v>-0.4943347596372824</x:v>
      </x:c>
      <x:c r="N81" s="500" t="n">
        <x:f>-$B$9/2+A81*$B$9</x:f>
        <x:v>0.12135254915624205</x:v>
      </x:c>
      <x:c r="O81" s="500" t="n">
        <x:f>0.5*SQRT(MAX(0,1-(2*N81/$B$9)^2))</x:f>
        <x:v>0.49434299833212975</x:v>
      </x:c>
      <x:c r="P81" s="500" t="n">
        <x:f>-O81</x:f>
        <x:v>-0.49434299833212975</x:v>
      </x:c>
      <x:c r="Q81" s="430"/>
      <x:c r="R81" s="430"/>
      <x:c r="S81" s="430"/>
      <x:c r="T81" s="430"/>
    </x:row>
    <x:row r="82">
      <x:c r="A82" s="500" t="n">
        <x:v>0.6</x:v>
      </x:c>
      <x:c r="B82" s="500" t="n">
        <x:f>$R$16+A82*($R$17-$R$16)</x:f>
        <x:v>0.04691108898519333</x:v>
      </x:c>
      <x:c r="C82" s="500" t="n">
        <x:f>SQRT(MAX(0,1/($B$8-B82*$R$6)^2-B82^2*$R$7^2))</x:f>
        <x:v>0.1281075889174038</x:v>
      </x:c>
      <x:c r="D82" s="500" t="n">
        <x:f>-C82</x:f>
        <x:v>-0.1281075889174038</x:v>
      </x:c>
      <x:c r="E82" s="500" t="n">
        <x:f>(B82-($R$16+$R$17)/2)/$R$21</x:f>
        <x:v>0.16180339887498973</x:v>
      </x:c>
      <x:c r="F82" s="500" t="n">
        <x:f>C82/$R$21</x:f>
        <x:v>0.48989592118806996</x:v>
      </x:c>
      <x:c r="G82" s="500" t="n">
        <x:f>-F82</x:f>
        <x:v>-0.48989592118806996</x:v>
      </x:c>
      <x:c r="H82" s="500" t="n">
        <x:f>$R$18+A82*($R$19-$R$18)</x:f>
        <x:v>0.13486358895386563</x:v>
      </x:c>
      <x:c r="I82" s="500" t="n">
        <x:f>SQRT(MAX(0,1/($B$8-H82*$R$6)-H82^2*$R$7^2))</x:f>
        <x:v>0.35439826437051675</x:v>
      </x:c>
      <x:c r="J82" s="500" t="n">
        <x:f>-I82</x:f>
        <x:v>-0.35439826437051675</x:v>
      </x:c>
      <x:c r="K82" s="500" t="n">
        <x:f>(H82-($R$18+$R$19)/2)/$R$22</x:f>
        <x:v>0.1619836321812961</x:v>
      </x:c>
      <x:c r="L82" s="500" t="n">
        <x:f>I82/$R$22</x:f>
        <x:v>0.4898870291545513</x:v>
      </x:c>
      <x:c r="M82" s="500" t="n">
        <x:f>-L82</x:f>
        <x:v>-0.4898870291545513</x:v>
      </x:c>
      <x:c r="N82" s="500" t="n">
        <x:f>-$B$9/2+A82*$B$9</x:f>
        <x:v>0.1618033988749894</x:v>
      </x:c>
      <x:c r="O82" s="500" t="n">
        <x:f>0.5*SQRT(MAX(0,1-(2*N82/$B$9)^2))</x:f>
        <x:v>0.48989794855663565</x:v>
      </x:c>
      <x:c r="P82" s="500" t="n">
        <x:f>-O82</x:f>
        <x:v>-0.48989794855663565</x:v>
      </x:c>
      <x:c r="Q82" s="430"/>
      <x:c r="R82" s="430"/>
      <x:c r="S82" s="430"/>
      <x:c r="T82" s="430"/>
    </x:row>
    <x:row r="83">
      <x:c r="A83" s="500" t="n">
        <x:v>0.625</x:v>
      </x:c>
      <x:c r="B83" s="500" t="n">
        <x:f>$R$16+A83*($R$17-$R$16)</x:f>
        <x:v>0.05748897012893037</x:v>
      </x:c>
      <x:c r="C83" s="500" t="n">
        <x:f>SQRT(MAX(0,1/($B$8-B83*$R$6)^2-B83^2*$R$7^2))</x:f>
        <x:v>0.1265972951754103</x:v>
      </x:c>
      <x:c r="D83" s="500" t="n">
        <x:f>-C83</x:f>
        <x:v>-0.1265972951754103</x:v>
      </x:c>
      <x:c r="E83" s="500" t="n">
        <x:f>(B83-($R$16+$R$17)/2)/$R$21</x:f>
        <x:v>0.2022542485937371</x:v>
      </x:c>
      <x:c r="F83" s="500" t="n">
        <x:f>C83/$R$21</x:f>
        <x:v>0.4841204105391613</x:v>
      </x:c>
      <x:c r="G83" s="500" t="n">
        <x:f>-F83</x:f>
        <x:v>-0.4841204105391613</x:v>
      </x:c>
      <x:c r="H83" s="500" t="n">
        <x:f>$R$18+A83*($R$19-$R$18)</x:f>
        <x:v>0.16415948509167333</x:v>
      </x:c>
      <x:c r="I83" s="500" t="n">
        <x:f>SQRT(MAX(0,1/($B$8-H83*$R$6)-H83^2*$R$7^2))</x:f>
        <x:v>0.3502185542270209</x:v>
      </x:c>
      <x:c r="J83" s="500" t="n">
        <x:f>-I83</x:f>
        <x:v>-0.3502185542270209</x:v>
      </x:c>
      <x:c r="K83" s="500" t="n">
        <x:f>(H83-($R$18+$R$19)/2)/$R$22</x:f>
        <x:v>0.2024795402266202</x:v>
      </x:c>
      <x:c r="L83" s="500" t="n">
        <x:f>I83/$R$22</x:f>
        <x:v>0.484109388599338</x:v>
      </x:c>
      <x:c r="M83" s="500" t="n">
        <x:f>-L83</x:f>
        <x:v>-0.484109388599338</x:v>
      </x:c>
      <x:c r="N83" s="500" t="n">
        <x:f>-$B$9/2+A83*$B$9</x:f>
        <x:v>0.20225424859373686</x:v>
      </x:c>
      <x:c r="O83" s="500" t="n">
        <x:f>0.5*SQRT(MAX(0,1-(2*N83/$B$9)^2))</x:f>
        <x:v>0.4841229182759271</x:v>
      </x:c>
      <x:c r="P83" s="500" t="n">
        <x:f>-O83</x:f>
        <x:v>-0.4841229182759271</x:v>
      </x:c>
      <x:c r="Q83" s="430"/>
      <x:c r="R83" s="430"/>
      <x:c r="S83" s="430"/>
      <x:c r="T83" s="430"/>
    </x:row>
    <x:row r="84">
      <x:c r="A84" s="500" t="n">
        <x:v>0.65</x:v>
      </x:c>
      <x:c r="B84" s="500" t="n">
        <x:f>$R$16+A84*($R$17-$R$16)</x:f>
        <x:v>0.0680668512726674</x:v>
      </x:c>
      <x:c r="C84" s="500" t="n">
        <x:f>SQRT(MAX(0,1/($B$8-B84*$R$6)^2-B84^2*$R$7^2))</x:f>
        <x:v>0.12472658488766811</x:v>
      </x:c>
      <x:c r="D84" s="500" t="n">
        <x:f>-C84</x:f>
        <x:v>-0.12472658488766811</x:v>
      </x:c>
      <x:c r="E84" s="500" t="n">
        <x:f>(B84-($R$16+$R$17)/2)/$R$21</x:f>
        <x:v>0.2427050983124845</x:v>
      </x:c>
      <x:c r="F84" s="500" t="n">
        <x:f>C84/$R$21</x:f>
        <x:v>0.47696663184865506</x:v>
      </x:c>
      <x:c r="G84" s="500" t="n">
        <x:f>-F84</x:f>
        <x:v>-0.47696663184865506</x:v>
      </x:c>
      <x:c r="H84" s="500" t="n">
        <x:f>$R$18+A84*($R$19-$R$18)</x:f>
        <x:v>0.19345538122948103</x:v>
      </x:c>
      <x:c r="I84" s="500" t="n">
        <x:f>SQRT(MAX(0,1/($B$8-H84*$R$6)-H84^2*$R$7^2))</x:f>
        <x:v>0.34504182048808557</x:v>
      </x:c>
      <x:c r="J84" s="500" t="n">
        <x:f>-I84</x:f>
        <x:v>-0.34504182048808557</x:v>
      </x:c>
      <x:c r="K84" s="500" t="n">
        <x:f>(H84-($R$18+$R$19)/2)/$R$22</x:f>
        <x:v>0.2429754482719443</x:v>
      </x:c>
      <x:c r="L84" s="500" t="n">
        <x:f>I84/$R$22</x:f>
        <x:v>0.47695355583419835</x:v>
      </x:c>
      <x:c r="M84" s="500" t="n">
        <x:f>-L84</x:f>
        <x:v>-0.47695355583419835</x:v>
      </x:c>
      <x:c r="N84" s="500" t="n">
        <x:f>-$B$9/2+A84*$B$9</x:f>
        <x:v>0.24270509831248432</x:v>
      </x:c>
      <x:c r="O84" s="500" t="n">
        <x:f>0.5*SQRT(MAX(0,1-(2*N84/$B$9)^2))</x:f>
        <x:v>0.47696960070847283</x:v>
      </x:c>
      <x:c r="P84" s="500" t="n">
        <x:f>-O84</x:f>
        <x:v>-0.47696960070847283</x:v>
      </x:c>
      <x:c r="Q84" s="430"/>
      <x:c r="R84" s="430"/>
      <x:c r="S84" s="430"/>
      <x:c r="T84" s="430"/>
    </x:row>
    <x:row r="85">
      <x:c r="A85" s="500" t="n">
        <x:v>0.675</x:v>
      </x:c>
      <x:c r="B85" s="500" t="n">
        <x:f>$R$16+A85*($R$17-$R$16)</x:f>
        <x:v>0.07864473241640449</x:v>
      </x:c>
      <x:c r="C85" s="500" t="n">
        <x:f>SQRT(MAX(0,1/($B$8-B85*$R$6)^2-B85^2*$R$7^2))</x:f>
        <x:v>0.12247894667098565</x:v>
      </x:c>
      <x:c r="D85" s="500" t="n">
        <x:f>-C85</x:f>
        <x:v>-0.12247894667098565</x:v>
      </x:c>
      <x:c r="E85" s="500" t="n">
        <x:f>(B85-($R$16+$R$17)/2)/$R$21</x:f>
        <x:v>0.2831559480312321</x:v>
      </x:c>
      <x:c r="F85" s="500" t="n">
        <x:f>C85/$R$21</x:f>
        <x:v>0.4683714439759905</x:v>
      </x:c>
      <x:c r="G85" s="500" t="n">
        <x:f>-F85</x:f>
        <x:v>-0.4683714439759905</x:v>
      </x:c>
      <x:c r="H85" s="500" t="n">
        <x:f>$R$18+A85*($R$19-$R$18)</x:f>
        <x:v>0.22275127736728872</x:v>
      </x:c>
      <x:c r="I85" s="500" t="n">
        <x:f>SQRT(MAX(0,1/($B$8-H85*$R$6)-H85^2*$R$7^2))</x:f>
        <x:v>0.3388224008096641</x:v>
      </x:c>
      <x:c r="J85" s="500" t="n">
        <x:f>-I85</x:f>
        <x:v>-0.3388224008096641</x:v>
      </x:c>
      <x:c r="K85" s="500" t="n">
        <x:f>(H85-($R$18+$R$19)/2)/$R$22</x:f>
        <x:v>0.2834713563172684</x:v>
      </x:c>
      <x:c r="L85" s="500" t="n">
        <x:f>I85/$R$22</x:f>
        <x:v>0.46835641150354246</x:v>
      </x:c>
      <x:c r="M85" s="500" t="n">
        <x:f>-L85</x:f>
        <x:v>-0.46835641150354246</x:v>
      </x:c>
      <x:c r="N85" s="500" t="n">
        <x:f>-$B$9/2+A85*$B$9</x:f>
        <x:v>0.2831559480312318</x:v>
      </x:c>
      <x:c r="O85" s="500" t="n">
        <x:f>0.5*SQRT(MAX(0,1-(2*N85/$B$9)^2))</x:f>
        <x:v>0.4683748498798798</x:v>
      </x:c>
      <x:c r="P85" s="500" t="n">
        <x:f>-O85</x:f>
        <x:v>-0.4683748498798798</x:v>
      </x:c>
      <x:c r="Q85" s="430"/>
      <x:c r="R85" s="430"/>
      <x:c r="S85" s="430"/>
      <x:c r="T85" s="430"/>
    </x:row>
    <x:row r="86">
      <x:c r="A86" s="500" t="n">
        <x:v>0.7</x:v>
      </x:c>
      <x:c r="B86" s="500" t="n">
        <x:f>$R$16+A86*($R$17-$R$16)</x:f>
        <x:v>0.08922261356014147</x:v>
      </x:c>
      <x:c r="C86" s="500" t="n">
        <x:f>SQRT(MAX(0,1/($B$8-B86*$R$6)^2-B86^2*$R$7^2))</x:f>
        <x:v>0.1198331752552808</x:v>
      </x:c>
      <x:c r="D86" s="500" t="n">
        <x:f>-C86</x:f>
        <x:v>-0.1198331752552808</x:v>
      </x:c>
      <x:c r="E86" s="500" t="n">
        <x:f>(B86-($R$16+$R$17)/2)/$R$21</x:f>
        <x:v>0.3236067977499793</x:v>
      </x:c>
      <x:c r="F86" s="500" t="n">
        <x:f>C86/$R$21</x:f>
        <x:v>0.45825375589909234</x:v>
      </x:c>
      <x:c r="G86" s="500" t="n">
        <x:f>-F86</x:f>
        <x:v>-0.45825375589909234</x:v>
      </x:c>
      <x:c r="H86" s="500" t="n">
        <x:f>$R$18+A86*($R$19-$R$18)</x:f>
        <x:v>0.2520471735050962</x:v>
      </x:c>
      <x:c r="I86" s="500" t="n">
        <x:f>SQRT(MAX(0,1/($B$8-H86*$R$6)-H86^2*$R$7^2))</x:f>
        <x:v>0.33150164892859163</x:v>
      </x:c>
      <x:c r="J86" s="500" t="n">
        <x:f>-I86</x:f>
        <x:v>-0.33150164892859163</x:v>
      </x:c>
      <x:c r="K86" s="500" t="n">
        <x:f>(H86-($R$18+$R$19)/2)/$R$22</x:f>
        <x:v>0.3239672643625922</x:v>
      </x:c>
      <x:c r="L86" s="500" t="n">
        <x:f>I86/$R$22</x:f>
        <x:v>0.4582368884958149</x:v>
      </x:c>
      <x:c r="M86" s="500" t="n">
        <x:f>-L86</x:f>
        <x:v>-0.4582368884958149</x:v>
      </x:c>
      <x:c r="N86" s="500" t="n">
        <x:f>-$B$9/2+A86*$B$9</x:f>
        <x:v>0.3236067977499788</x:v>
      </x:c>
      <x:c r="O86" s="500" t="n">
        <x:f>0.5*SQRT(MAX(0,1-(2*N86/$B$9)^2))</x:f>
        <x:v>0.45825756949558405</x:v>
      </x:c>
      <x:c r="P86" s="500" t="n">
        <x:f>-O86</x:f>
        <x:v>-0.45825756949558405</x:v>
      </x:c>
      <x:c r="Q86" s="430"/>
      <x:c r="R86" s="430"/>
      <x:c r="S86" s="430"/>
      <x:c r="T86" s="430"/>
    </x:row>
    <x:row r="87">
      <x:c r="A87" s="500" t="n">
        <x:v>0.725</x:v>
      </x:c>
      <x:c r="B87" s="500" t="n">
        <x:f>$R$16+A87*($R$17-$R$16)</x:f>
        <x:v>0.09980049470387856</x:v>
      </x:c>
      <x:c r="C87" s="500" t="n">
        <x:f>SQRT(MAX(0,1/($B$8-B87*$R$6)^2-B87^2*$R$7^2))</x:f>
        <x:v>0.11676221165034438</x:v>
      </x:c>
      <x:c r="D87" s="500" t="n">
        <x:f>-C87</x:f>
        <x:v>-0.11676221165034438</x:v>
      </x:c>
      <x:c r="E87" s="500" t="n">
        <x:f>(B87-($R$16+$R$17)/2)/$R$21</x:f>
        <x:v>0.3640576474687269</x:v>
      </x:c>
      <x:c r="F87" s="500" t="n">
        <x:f>C87/$R$21</x:f>
        <x:v>0.44651009139889364</x:v>
      </x:c>
      <x:c r="G87" s="500" t="n">
        <x:f>-F87</x:f>
        <x:v>-0.44651009139889364</x:v>
      </x:c>
      <x:c r="H87" s="500" t="n">
        <x:f>$R$18+A87*($R$19-$R$18)</x:f>
        <x:v>0.2813430696429039</x:v>
      </x:c>
      <x:c r="I87" s="500" t="n">
        <x:f>SQRT(MAX(0,1/($B$8-H87*$R$6)-H87^2*$R$7^2))</x:f>
        <x:v>0.32300472648843703</x:v>
      </x:c>
      <x:c r="J87" s="500" t="n">
        <x:f>-I87</x:f>
        <x:v>-0.32300472648843703</x:v>
      </x:c>
      <x:c r="K87" s="500" t="n">
        <x:f>(H87-($R$18+$R$19)/2)/$R$22</x:f>
        <x:v>0.3644631724079163</x:v>
      </x:c>
      <x:c r="L87" s="500" t="n">
        <x:f>I87/$R$22</x:f>
        <x:v>0.44649153726347324</x:v>
      </x:c>
      <x:c r="M87" s="500" t="n">
        <x:f>-L87</x:f>
        <x:v>-0.44649153726347324</x:v>
      </x:c>
      <x:c r="N87" s="500" t="n">
        <x:f>-$B$9/2+A87*$B$9</x:f>
        <x:v>0.36405764746872626</x:v>
      </x:c>
      <x:c r="O87" s="500" t="n">
        <x:f>0.5*SQRT(MAX(0,1-(2*N87/$B$9)^2))</x:f>
        <x:v>0.44651427748729383</x:v>
      </x:c>
      <x:c r="P87" s="500" t="n">
        <x:f>-O87</x:f>
        <x:v>-0.44651427748729383</x:v>
      </x:c>
      <x:c r="Q87" s="430"/>
      <x:c r="R87" s="430"/>
      <x:c r="S87" s="430"/>
      <x:c r="T87" s="430"/>
    </x:row>
    <x:row r="88">
      <x:c r="A88" s="500" t="n">
        <x:v>0.75</x:v>
      </x:c>
      <x:c r="B88" s="500" t="n">
        <x:f>$R$16+A88*($R$17-$R$16)</x:f>
        <x:v>0.11037837584761559</x:v>
      </x:c>
      <x:c r="C88" s="500" t="n">
        <x:f>SQRT(MAX(0,1/($B$8-B88*$R$6)^2-B88^2*$R$7^2))</x:f>
        <x:v>0.1132314685198357</x:v>
      </x:c>
      <x:c r="D88" s="500" t="n">
        <x:f>-C88</x:f>
        <x:v>-0.1132314685198357</x:v>
      </x:c>
      <x:c r="E88" s="500" t="n">
        <x:f>(B88-($R$16+$R$17)/2)/$R$21</x:f>
        <x:v>0.4045084971874743</x:v>
      </x:c>
      <x:c r="F88" s="500" t="n">
        <x:f>C88/$R$21</x:f>
        <x:v>0.4330081851260794</x:v>
      </x:c>
      <x:c r="G88" s="500" t="n">
        <x:f>-F88</x:f>
        <x:v>-0.4330081851260794</x:v>
      </x:c>
      <x:c r="H88" s="500" t="n">
        <x:f>$R$18+A88*($R$19-$R$18)</x:f>
        <x:v>0.3106389657807116</x:v>
      </x:c>
      <x:c r="I88" s="500" t="n">
        <x:f>SQRT(MAX(0,1/($B$8-H88*$R$6)-H88^2*$R$7^2))</x:f>
        <x:v>0.3132359708758515</x:v>
      </x:c>
      <x:c r="J88" s="500" t="n">
        <x:f>-I88</x:f>
        <x:v>-0.3132359708758515</x:v>
      </x:c>
      <x:c r="K88" s="500" t="n">
        <x:f>(H88-($R$18+$R$19)/2)/$R$22</x:f>
        <x:v>0.4049590804532404</x:v>
      </x:c>
      <x:c r="L88" s="500" t="n">
        <x:f>I88/$R$22</x:f>
        <x:v>0.4329881227530028</x:v>
      </x:c>
      <x:c r="M88" s="500" t="n">
        <x:f>-L88</x:f>
        <x:v>-0.4329881227530028</x:v>
      </x:c>
      <x:c r="N88" s="500" t="n">
        <x:f>-$B$9/2+A88*$B$9</x:f>
        <x:v>0.4045084971874737</x:v>
      </x:c>
      <x:c r="O88" s="500" t="n">
        <x:f>0.5*SQRT(MAX(0,1-(2*N88/$B$9)^2))</x:f>
        <x:v>0.4330127018922193</x:v>
      </x:c>
      <x:c r="P88" s="500" t="n">
        <x:f>-O88</x:f>
        <x:v>-0.4330127018922193</x:v>
      </x:c>
      <x:c r="Q88" s="430"/>
      <x:c r="R88" s="430"/>
      <x:c r="S88" s="430"/>
      <x:c r="T88" s="430"/>
    </x:row>
    <x:row r="89">
      <x:c r="A89" s="500" t="n">
        <x:v>0.775</x:v>
      </x:c>
      <x:c r="B89" s="500" t="n">
        <x:f>$R$16+A89*($R$17-$R$16)</x:f>
        <x:v>0.12095625699135262</x:v>
      </x:c>
      <x:c r="C89" s="500" t="n">
        <x:f>SQRT(MAX(0,1/($B$8-B89*$R$6)^2-B89^2*$R$7^2))</x:f>
        <x:v>0.10919635812705863</x:v>
      </x:c>
      <x:c r="D89" s="500" t="n">
        <x:f>-C89</x:f>
        <x:v>-0.10919635812705863</x:v>
      </x:c>
      <x:c r="E89" s="500" t="n">
        <x:f>(B89-($R$16+$R$17)/2)/$R$21</x:f>
        <x:v>0.4449593469062217</x:v>
      </x:c>
      <x:c r="F89" s="500" t="n">
        <x:f>C89/$R$21</x:f>
        <x:v>0.41757752922450286</x:v>
      </x:c>
      <x:c r="G89" s="500" t="n">
        <x:f>-F89</x:f>
        <x:v>-0.41757752922450286</x:v>
      </x:c>
      <x:c r="H89" s="500" t="n">
        <x:f>$R$18+A89*($R$19-$R$18)</x:f>
        <x:v>0.3399348619185193</x:v>
      </x:c>
      <x:c r="I89" s="500" t="n">
        <x:f>SQRT(MAX(0,1/($B$8-H89*$R$6)-H89^2*$R$7^2))</x:f>
        <x:v>0.3020720572577363</x:v>
      </x:c>
      <x:c r="J89" s="500" t="n">
        <x:f>-I89</x:f>
        <x:v>-0.3020720572577363</x:v>
      </x:c>
      <x:c r="K89" s="500" t="n">
        <x:f>(H89-($R$18+$R$19)/2)/$R$22</x:f>
        <x:v>0.4454549884985645</x:v>
      </x:c>
      <x:c r="L89" s="500" t="n">
        <x:f>I89/$R$22</x:f>
        <x:v>0.417556172244355</x:v>
      </x:c>
      <x:c r="M89" s="500" t="n">
        <x:f>-L89</x:f>
        <x:v>-0.417556172244355</x:v>
      </x:c>
      <x:c r="N89" s="500" t="n">
        <x:f>-$B$9/2+A89*$B$9</x:f>
        <x:v>0.4449593469062212</x:v>
      </x:c>
      <x:c r="O89" s="500" t="n">
        <x:f>0.5*SQRT(MAX(0,1-(2*N89/$B$9)^2))</x:f>
        <x:v>0.4175823272122516</x:v>
      </x:c>
      <x:c r="P89" s="500" t="n">
        <x:f>-O89</x:f>
        <x:v>-0.4175823272122516</x:v>
      </x:c>
      <x:c r="Q89" s="430"/>
      <x:c r="R89" s="430"/>
      <x:c r="S89" s="430"/>
      <x:c r="T89" s="430"/>
    </x:row>
    <x:row r="90">
      <x:c r="A90" s="500" t="n">
        <x:v>0.8</x:v>
      </x:c>
      <x:c r="B90" s="500" t="n">
        <x:f>$R$16+A90*($R$17-$R$16)</x:f>
        <x:v>0.1315341381350897</x:v>
      </x:c>
      <x:c r="C90" s="500" t="n">
        <x:f>SQRT(MAX(0,1/($B$8-B90*$R$6)^2-B90^2*$R$7^2))</x:f>
        <x:v>0.10459852830282554</x:v>
      </x:c>
      <x:c r="D90" s="500" t="n">
        <x:f>-C90</x:f>
        <x:v>-0.10459852830282554</x:v>
      </x:c>
      <x:c r="E90" s="500" t="n">
        <x:f>(B90-($R$16+$R$17)/2)/$R$21</x:f>
        <x:v>0.4854101966249693</x:v>
      </x:c>
      <x:c r="F90" s="500" t="n">
        <x:f>C90/$R$21</x:f>
        <x:v>0.3999949793049903</x:v>
      </x:c>
      <x:c r="G90" s="500" t="n">
        <x:f>-F90</x:f>
        <x:v>-0.3999949793049903</x:v>
      </x:c>
      <x:c r="H90" s="500" t="n">
        <x:f>$R$18+A90*($R$19-$R$18)</x:f>
        <x:v>0.369230758056327</x:v>
      </x:c>
      <x:c r="I90" s="500" t="n">
        <x:f>SQRT(MAX(0,1/($B$8-H90*$R$6)-H90^2*$R$7^2))</x:f>
        <x:v>0.2893515868215351</x:v>
      </x:c>
      <x:c r="J90" s="500" t="n">
        <x:f>-I90</x:f>
        <x:v>-0.2893515868215351</x:v>
      </x:c>
      <x:c r="K90" s="500" t="n">
        <x:f>(H90-($R$18+$R$19)/2)/$R$22</x:f>
        <x:v>0.4859508965438886</x:v>
      </x:c>
      <x:c r="L90" s="500" t="n">
        <x:f>I90/$R$22</x:f>
        <x:v>0.39997258310768846</x:v>
      </x:c>
      <x:c r="M90" s="500" t="n">
        <x:f>-L90</x:f>
        <x:v>-0.39997258310768846</x:v>
      </x:c>
      <x:c r="N90" s="500" t="n">
        <x:f>-$B$9/2+A90*$B$9</x:f>
        <x:v>0.48541019662496865</x:v>
      </x:c>
      <x:c r="O90" s="500" t="n">
        <x:f>0.5*SQRT(MAX(0,1-(2*N90/$B$9)^2))</x:f>
        <x:v>0.3999999999999999</x:v>
      </x:c>
      <x:c r="P90" s="500" t="n">
        <x:f>-O90</x:f>
        <x:v>-0.3999999999999999</x:v>
      </x:c>
      <x:c r="Q90" s="430"/>
      <x:c r="R90" s="430"/>
      <x:c r="S90" s="430"/>
      <x:c r="T90" s="430"/>
    </x:row>
    <x:row r="91">
      <x:c r="A91" s="500" t="n">
        <x:v>0.825</x:v>
      </x:c>
      <x:c r="B91" s="500" t="n">
        <x:f>$R$16+A91*($R$17-$R$16)</x:f>
        <x:v>0.1421120192788267</x:v>
      </x:c>
      <x:c r="C91" s="500" t="n">
        <x:f>SQRT(MAX(0,1/($B$8-B91*$R$6)^2-B91^2*$R$7^2))</x:f>
        <x:v>0.0993598938678278</x:v>
      </x:c>
      <x:c r="D91" s="500" t="n">
        <x:f>-C91</x:f>
        <x:v>-0.0993598938678278</x:v>
      </x:c>
      <x:c r="E91" s="500" t="n">
        <x:f>(B91-($R$16+$R$17)/2)/$R$21</x:f>
        <x:v>0.5258610463437166</x:v>
      </x:c>
      <x:c r="F91" s="500" t="n">
        <x:f>C91/$R$21</x:f>
        <x:v>0.37996193002205186</x:v>
      </x:c>
      <x:c r="G91" s="500" t="n">
        <x:f>-F91</x:f>
        <x:v>-0.37996193002205186</x:v>
      </x:c>
      <x:c r="H91" s="500" t="n">
        <x:f>$R$18+A91*($R$19-$R$18)</x:f>
        <x:v>0.39852665419413447</x:v>
      </x:c>
      <x:c r="I91" s="500" t="n">
        <x:f>SQRT(MAX(0,1/($B$8-H91*$R$6)-H91^2*$R$7^2))</x:f>
        <x:v>0.2748585769166317</x:v>
      </x:c>
      <x:c r="J91" s="500" t="n">
        <x:f>-I91</x:f>
        <x:v>-0.2748585769166317</x:v>
      </x:c>
      <x:c r="K91" s="500" t="n">
        <x:f>(H91-($R$18+$R$19)/2)/$R$22</x:f>
        <x:v>0.5264468045892124</x:v>
      </x:c>
      <x:c r="L91" s="500" t="n">
        <x:f>I91/$R$22</x:f>
        <x:v>0.3799388011182886</x:v>
      </x:c>
      <x:c r="M91" s="500" t="n">
        <x:f>-L91</x:f>
        <x:v>-0.3799388011182886</x:v>
      </x:c>
      <x:c r="N91" s="500" t="n">
        <x:f>-$B$9/2+A91*$B$9</x:f>
        <x:v>0.5258610463437157</x:v>
      </x:c>
      <x:c r="O91" s="500" t="n">
        <x:f>0.5*SQRT(MAX(0,1-(2*N91/$B$9)^2))</x:f>
        <x:v>0.3799671038392667</x:v>
      </x:c>
      <x:c r="P91" s="500" t="n">
        <x:f>-O91</x:f>
        <x:v>-0.3799671038392667</x:v>
      </x:c>
      <x:c r="Q91" s="430"/>
      <x:c r="R91" s="430"/>
      <x:c r="S91" s="430"/>
      <x:c r="T91" s="430"/>
    </x:row>
    <x:row r="92">
      <x:c r="A92" s="500" t="n">
        <x:v>0.85</x:v>
      </x:c>
      <x:c r="B92" s="500" t="n">
        <x:f>$R$16+A92*($R$17-$R$16)</x:f>
        <x:v>0.15268990042256378</x:v>
      </x:c>
      <x:c r="C92" s="500" t="n">
        <x:f>SQRT(MAX(0,1/($B$8-B92*$R$6)^2-B92^2*$R$7^2))</x:f>
        <x:v>0.09337266383581422</x:v>
      </x:c>
      <x:c r="D92" s="500" t="n">
        <x:f>-C92</x:f>
        <x:v>-0.09337266383581422</x:v>
      </x:c>
      <x:c r="E92" s="500" t="n">
        <x:f>(B92-($R$16+$R$17)/2)/$R$21</x:f>
        <x:v>0.5663118960624641</x:v>
      </x:c>
      <x:c r="F92" s="500" t="n">
        <x:f>C92/$R$21</x:f>
        <x:v>0.3570661781256574</x:v>
      </x:c>
      <x:c r="G92" s="500" t="n">
        <x:f>-F92</x:f>
        <x:v>-0.3570661781256574</x:v>
      </x:c>
      <x:c r="H92" s="500" t="n">
        <x:f>$R$18+A92*($R$19-$R$18)</x:f>
        <x:v>0.42782255033194216</x:v>
      </x:c>
      <x:c r="I92" s="500" t="n">
        <x:f>SQRT(MAX(0,1/($B$8-H92*$R$6)-H92^2*$R$7^2))</x:f>
        <x:v>0.25829487491432557</x:v>
      </x:c>
      <x:c r="J92" s="500" t="n">
        <x:f>-I92</x:f>
        <x:v>-0.25829487491432557</x:v>
      </x:c>
      <x:c r="K92" s="500" t="n">
        <x:f>(H92-($R$18+$R$19)/2)/$R$22</x:f>
        <x:v>0.5669427126345365</x:v>
      </x:c>
      <x:c r="L92" s="500" t="n">
        <x:f>I92/$R$22</x:f>
        <x:v>0.3570426879555344</x:v>
      </x:c>
      <x:c r="M92" s="500" t="n">
        <x:f>-L92</x:f>
        <x:v>-0.3570426879555344</x:v>
      </x:c>
      <x:c r="N92" s="500" t="n">
        <x:f>-$B$9/2+A92*$B$9</x:f>
        <x:v>0.5663118960624631</x:v>
      </x:c>
      <x:c r="O92" s="500" t="n">
        <x:f>0.5*SQRT(MAX(0,1-(2*N92/$B$9)^2))</x:f>
        <x:v>0.3570714214271426</x:v>
      </x:c>
      <x:c r="P92" s="500" t="n">
        <x:f>-O92</x:f>
        <x:v>-0.3570714214271426</x:v>
      </x:c>
      <x:c r="Q92" s="430"/>
      <x:c r="R92" s="430"/>
      <x:c r="S92" s="430"/>
      <x:c r="T92" s="430"/>
    </x:row>
    <x:row r="93">
      <x:c r="A93" s="500" t="n">
        <x:v>0.875</x:v>
      </x:c>
      <x:c r="B93" s="500" t="n">
        <x:f>$R$16+A93*($R$17-$R$16)</x:f>
        <x:v>0.1632677815663008</x:v>
      </x:c>
      <x:c r="C93" s="500" t="n">
        <x:f>SQRT(MAX(0,1/($B$8-B93*$R$6)^2-B93^2*$R$7^2))</x:f>
        <x:v>0.0864815021724574</x:v>
      </x:c>
      <x:c r="D93" s="500" t="n">
        <x:f>-C93</x:f>
        <x:v>-0.0864815021724574</x:v>
      </x:c>
      <x:c r="E93" s="500" t="n">
        <x:f>(B93-($R$16+$R$17)/2)/$R$21</x:f>
        <x:v>0.6067627457812115</x:v>
      </x:c>
      <x:c r="F93" s="500" t="n">
        <x:f>C93/$R$21</x:f>
        <x:v>0.330713703462328</x:v>
      </x:c>
      <x:c r="G93" s="500" t="n">
        <x:f>-F93</x:f>
        <x:v>-0.330713703462328</x:v>
      </x:c>
      <x:c r="H93" s="500" t="n">
        <x:f>$R$18+A93*($R$19-$R$18)</x:f>
        <x:v>0.45711844646975</x:v>
      </x:c>
      <x:c r="I93" s="500" t="n">
        <x:f>SQRT(MAX(0,1/($B$8-H93*$R$6)-H93^2*$R$7^2))</x:f>
        <x:v>0.23923081224194323</x:v>
      </x:c>
      <x:c r="J93" s="500" t="n">
        <x:f>-I93</x:f>
        <x:v>-0.23923081224194323</x:v>
      </x:c>
      <x:c r="K93" s="500" t="n">
        <x:f>(H93-($R$18+$R$19)/2)/$R$22</x:f>
        <x:v>0.6074386206798608</x:v>
      </x:c>
      <x:c r="L93" s="500" t="n">
        <x:f>I93/$R$22</x:f>
        <x:v>0.33069030995284315</x:v>
      </x:c>
      <x:c r="M93" s="500" t="n">
        <x:f>-L93</x:f>
        <x:v>-0.33069030995284315</x:v>
      </x:c>
      <x:c r="N93" s="500" t="n">
        <x:f>-$B$9/2+A93*$B$9</x:f>
        <x:v>0.6067627457812106</x:v>
      </x:c>
      <x:c r="O93" s="500" t="n">
        <x:f>0.5*SQRT(MAX(0,1-(2*N93/$B$9)^2))</x:f>
        <x:v>0.33071891388307384</x:v>
      </x:c>
      <x:c r="P93" s="500" t="n">
        <x:f>-O93</x:f>
        <x:v>-0.33071891388307384</x:v>
      </x:c>
      <x:c r="Q93" s="430"/>
      <x:c r="R93" s="430"/>
      <x:c r="S93" s="430"/>
      <x:c r="T93" s="430"/>
    </x:row>
    <x:row r="94">
      <x:c r="A94" s="500" t="n">
        <x:v>0.9</x:v>
      </x:c>
      <x:c r="B94" s="500" t="n">
        <x:f>$R$16+A94*($R$17-$R$16)</x:f>
        <x:v>0.17384566271003785</x:v>
      </x:c>
      <x:c r="C94" s="500" t="n">
        <x:f>SQRT(MAX(0,1/($B$8-B94*$R$6)^2-B94^2*$R$7^2))</x:f>
        <x:v>0.07844856071957343</x:v>
      </x:c>
      <x:c r="D94" s="500" t="n">
        <x:f>-C94</x:f>
        <x:v>-0.07844856071957343</x:v>
      </x:c>
      <x:c r="E94" s="500" t="n">
        <x:f>(B94-($R$16+$R$17)/2)/$R$21</x:f>
        <x:v>0.6472135954999589</x:v>
      </x:c>
      <x:c r="F94" s="500" t="n">
        <x:f>C94/$R$21</x:f>
        <x:v>0.2999949514651479</x:v>
      </x:c>
      <x:c r="G94" s="500" t="n">
        <x:f>-F94</x:f>
        <x:v>-0.2999949514651479</x:v>
      </x:c>
      <x:c r="H94" s="500" t="n">
        <x:f>$R$18+A94*($R$19-$R$18)</x:f>
        <x:v>0.48641434260755756</x:v>
      </x:c>
      <x:c r="I94" s="500" t="n">
        <x:f>SQRT(MAX(0,1/($B$8-H94*$R$6)-H94^2*$R$7^2))</x:f>
        <x:v>0.21700848003299164</x:v>
      </x:c>
      <x:c r="J94" s="500" t="n">
        <x:f>-I94</x:f>
        <x:v>-0.21700848003299164</x:v>
      </x:c>
      <x:c r="K94" s="500" t="n">
        <x:f>(H94-($R$18+$R$19)/2)/$R$22</x:f>
        <x:v>0.6479345287251846</x:v>
      </x:c>
      <x:c r="L94" s="500" t="n">
        <x:f>I94/$R$22</x:f>
        <x:v>0.2999722353988797</x:v>
      </x:c>
      <x:c r="M94" s="500" t="n">
        <x:f>-L94</x:f>
        <x:v>-0.2999722353988797</x:v>
      </x:c>
      <x:c r="N94" s="500" t="n">
        <x:f>-$B$9/2+A94*$B$9</x:f>
        <x:v>0.647213595499958</x:v>
      </x:c>
      <x:c r="O94" s="500" t="n">
        <x:f>0.5*SQRT(MAX(0,1-(2*N94/$B$9)^2))</x:f>
        <x:v>0.2999999999999999</x:v>
      </x:c>
      <x:c r="P94" s="500" t="n">
        <x:f>-O94</x:f>
        <x:v>-0.2999999999999999</x:v>
      </x:c>
      <x:c r="Q94" s="430"/>
      <x:c r="R94" s="430"/>
      <x:c r="S94" s="430"/>
      <x:c r="T94" s="430"/>
    </x:row>
    <x:row r="95">
      <x:c r="A95" s="500" t="n">
        <x:v>0.925</x:v>
      </x:c>
      <x:c r="B95" s="500" t="n">
        <x:f>$R$16+A95*($R$17-$R$16)</x:f>
        <x:v>0.18442354385377493</x:v>
      </x:c>
      <x:c r="C95" s="500" t="n">
        <x:f>SQRT(MAX(0,1/($B$8-B95*$R$6)^2-B95^2*$R$7^2))</x:f>
        <x:v>0.06887549861005086</x:v>
      </x:c>
      <x:c r="D95" s="500" t="n">
        <x:f>-C95</x:f>
        <x:v>-0.06887549861005086</x:v>
      </x:c>
      <x:c r="E95" s="500" t="n">
        <x:f>(B95-($R$16+$R$17)/2)/$R$21</x:f>
        <x:v>0.6876644452187065</x:v>
      </x:c>
      <x:c r="F95" s="500" t="n">
        <x:f>C95/$R$21</x:f>
        <x:v>0.26338662778684596</x:v>
      </x:c>
      <x:c r="G95" s="500" t="n">
        <x:f>-F95</x:f>
        <x:v>-0.26338662778684596</x:v>
      </x:c>
      <x:c r="H95" s="500" t="n">
        <x:f>$R$18+A95*($R$19-$R$18)</x:f>
        <x:v>0.5157102387453651</x:v>
      </x:c>
      <x:c r="I95" s="500" t="n">
        <x:f>SQRT(MAX(0,1/($B$8-H95*$R$6)-H95^2*$R$7^2))</x:f>
        <x:v>0.1905260221594321</x:v>
      </x:c>
      <x:c r="J95" s="500" t="n">
        <x:f>-I95</x:f>
        <x:v>-0.1905260221594321</x:v>
      </x:c>
      <x:c r="K95" s="500" t="n">
        <x:f>(H95-($R$18+$R$19)/2)/$R$22</x:f>
        <x:v>0.6884304367705086</x:v>
      </x:c>
      <x:c r="L95" s="500" t="n">
        <x:f>I95/$R$22</x:f>
        <x:v>0.26336536139109623</x:v>
      </x:c>
      <x:c r="M95" s="500" t="n">
        <x:f>-L95</x:f>
        <x:v>-0.26336536139109623</x:v>
      </x:c>
      <x:c r="N95" s="500" t="n">
        <x:f>-$B$9/2+A95*$B$9</x:f>
        <x:v>0.6876644452187055</x:v>
      </x:c>
      <x:c r="O95" s="500" t="n">
        <x:f>0.5*SQRT(MAX(0,1-(2*N95/$B$9)^2))</x:f>
        <x:v>0.2633913438213183</x:v>
      </x:c>
      <x:c r="P95" s="500" t="n">
        <x:f>-O95</x:f>
        <x:v>-0.2633913438213183</x:v>
      </x:c>
      <x:c r="Q95" s="430"/>
      <x:c r="R95" s="430"/>
      <x:c r="S95" s="430"/>
      <x:c r="T95" s="430"/>
    </x:row>
    <x:row r="96">
      <x:c r="A96" s="500" t="n">
        <x:v>0.95</x:v>
      </x:c>
      <x:c r="B96" s="500" t="n">
        <x:f>$R$16+A96*($R$17-$R$16)</x:f>
        <x:v>0.1950014249975119</x:v>
      </x:c>
      <x:c r="C96" s="500" t="n">
        <x:f>SQRT(MAX(0,1/($B$8-B96*$R$6)^2-B96^2*$R$7^2))</x:f>
        <x:v>0.056991435187265696</x:v>
      </x:c>
      <x:c r="D96" s="500" t="n">
        <x:f>-C96</x:f>
        <x:v>-0.056991435187265696</x:v>
      </x:c>
      <x:c r="E96" s="500" t="n">
        <x:f>(B96-($R$16+$R$17)/2)/$R$21</x:f>
        <x:v>0.7281152949374536</x:v>
      </x:c>
      <x:c r="F96" s="500" t="n">
        <x:f>C96/$R$21</x:f>
        <x:v>0.21794080957137363</x:v>
      </x:c>
      <x:c r="G96" s="500" t="n">
        <x:f>-F96</x:f>
        <x:v>-0.21794080957137363</x:v>
      </x:c>
      <x:c r="H96" s="500" t="n">
        <x:f>$R$18+A96*($R$19-$R$18)</x:f>
        <x:v>0.5450061348831727</x:v>
      </x:c>
      <x:c r="I96" s="500" t="n">
        <x:f>SQRT(MAX(0,1/($B$8-H96*$R$6)-H96^2*$R$7^2))</x:f>
        <x:v>0.15765107697508504</x:v>
      </x:c>
      <x:c r="J96" s="500" t="n">
        <x:f>-I96</x:f>
        <x:v>-0.15765107697508504</x:v>
      </x:c>
      <x:c r="K96" s="500" t="n">
        <x:f>(H96-($R$18+$R$19)/2)/$R$22</x:f>
        <x:v>0.7289263448158326</x:v>
      </x:c>
      <x:c r="L96" s="500" t="n">
        <x:f>I96/$R$22</x:f>
        <x:v>0.21792211053718963</x:v>
      </x:c>
      <x:c r="M96" s="500" t="n">
        <x:f>-L96</x:f>
        <x:v>-0.21792211053718963</x:v>
      </x:c>
      <x:c r="N96" s="500" t="n">
        <x:f>-$B$9/2+A96*$B$9</x:f>
        <x:v>0.7281152949374525</x:v>
      </x:c>
      <x:c r="O96" s="500" t="n">
        <x:f>0.5*SQRT(MAX(0,1-(2*N96/$B$9)^2))</x:f>
        <x:v>0.21794494717703392</x:v>
      </x:c>
      <x:c r="P96" s="500" t="n">
        <x:f>-O96</x:f>
        <x:v>-0.21794494717703392</x:v>
      </x:c>
      <x:c r="Q96" s="430"/>
      <x:c r="R96" s="430"/>
      <x:c r="S96" s="430"/>
      <x:c r="T96" s="430"/>
    </x:row>
    <x:row r="97">
      <x:c r="A97" s="500" t="n">
        <x:v>0.975</x:v>
      </x:c>
      <x:c r="B97" s="500" t="n">
        <x:f>$R$16+A97*($R$17-$R$16)</x:f>
        <x:v>0.205579306141249</x:v>
      </x:c>
      <x:c r="C97" s="500" t="n">
        <x:f>SQRT(MAX(0,1/($B$8-B97*$R$6)^2-B97^2*$R$7^2))</x:f>
        <x:v>0.04082579316081612</x:v>
      </x:c>
      <x:c r="D97" s="500" t="n">
        <x:f>-C97</x:f>
        <x:v>-0.04082579316081612</x:v>
      </x:c>
      <x:c r="E97" s="500" t="n">
        <x:f>(B97-($R$16+$R$17)/2)/$R$21</x:f>
        <x:v>0.7685661446562013</x:v>
      </x:c>
      <x:c r="F97" s="500" t="n">
        <x:f>C97/$R$21</x:f>
        <x:v>0.15612181696469749</x:v>
      </x:c>
      <x:c r="G97" s="500" t="n">
        <x:f>-F97</x:f>
        <x:v>-0.15612181696469749</x:v>
      </x:c>
      <x:c r="H97" s="500" t="n">
        <x:f>$R$18+A97*($R$19-$R$18)</x:f>
        <x:v>0.5743020310209805</x:v>
      </x:c>
      <x:c r="I97" s="500" t="n">
        <x:f>SQRT(MAX(0,1/($B$8-H97*$R$6)-H97^2*$R$7^2))</x:f>
        <x:v>0.11293271449395491</x:v>
      </x:c>
      <x:c r="J97" s="500" t="n">
        <x:f>-I97</x:f>
        <x:v>-0.11293271449395491</x:v>
      </x:c>
      <x:c r="K97" s="500" t="n">
        <x:f>(H97-($R$18+$R$19)/2)/$R$22</x:f>
        <x:v>0.7694222528611568</x:v>
      </x:c>
      <x:c r="L97" s="500" t="n">
        <x:f>I97/$R$22</x:f>
        <x:v>0.15610762681377643</x:v>
      </x:c>
      <x:c r="M97" s="500" t="n">
        <x:f>-L97</x:f>
        <x:v>-0.15610762681377643</x:v>
      </x:c>
      <x:c r="N97" s="500" t="n">
        <x:f>-$B$9/2+A97*$B$9</x:f>
        <x:v>0.7685661446562</x:v>
      </x:c>
      <x:c r="O97" s="500" t="n">
        <x:f>0.5*SQRT(MAX(0,1-(2*N97/$B$9)^2))</x:f>
        <x:v>0.15612494995996015</x:v>
      </x:c>
      <x:c r="P97" s="500" t="n">
        <x:f>-O97</x:f>
        <x:v>-0.15612494995996015</x:v>
      </x:c>
      <x:c r="Q97" s="430"/>
      <x:c r="R97" s="430"/>
      <x:c r="S97" s="430"/>
      <x:c r="T97" s="430"/>
    </x:row>
    <x:row r="98">
      <x:c r="A98" s="500" t="n">
        <x:v>1</x:v>
      </x:c>
      <x:c r="B98" s="500" t="n">
        <x:f>$R$16+A98*($R$17-$R$16)</x:f>
        <x:v>0.21615718728498604</x:v>
      </x:c>
      <x:c r="C98" s="500" t="n">
        <x:f>SQRT(MAX(0,1/($B$8-B98*$R$6)^2-B98^2*$R$7^2))</x:f>
        <x:v>5.268356063861754e-9</x:v>
      </x:c>
      <x:c r="D98" s="500" t="n">
        <x:f>-C98</x:f>
        <x:v>-5.268356063861754e-9</x:v>
      </x:c>
      <x:c r="E98" s="500" t="n">
        <x:f>(B98-($R$16+$R$17)/2)/$R$21</x:f>
        <x:v>0.8090169943749487</x:v>
      </x:c>
      <x:c r="F98" s="500" t="n">
        <x:f>C98/$R$21</x:f>
        <x:v>2.014670769205055e-8</x:v>
      </x:c>
      <x:c r="G98" s="500" t="n">
        <x:f>-F98</x:f>
        <x:v>-2.014670769205055e-8</x:v>
      </x:c>
      <x:c r="H98" s="500" t="n">
        <x:f>$R$18+A98*($R$19-$R$18)</x:f>
        <x:v>0.6035979271587881</x:v>
      </x:c>
      <x:c r="I98" s="500" t="n">
        <x:f>SQRT(MAX(0,1/($B$8-H98*$R$6)-H98^2*$R$7^2))</x:f>
        <x:v>0</x:v>
      </x:c>
      <x:c r="J98" s="500" t="n">
        <x:f>-I98</x:f>
        <x:v>0</x:v>
      </x:c>
      <x:c r="K98" s="500" t="n">
        <x:f>(H98-($R$18+$R$19)/2)/$R$22</x:f>
        <x:v>0.8099181609064808</x:v>
      </x:c>
      <x:c r="L98" s="500" t="n">
        <x:f>I98/$R$22</x:f>
        <x:v>0</x:v>
      </x:c>
      <x:c r="M98" s="500" t="n">
        <x:f>-L98</x:f>
        <x:v>0</x:v>
      </x:c>
      <x:c r="N98" s="500" t="n">
        <x:f>-$B$9/2+A98*$B$9</x:f>
        <x:v>0.8090169943749475</x:v>
      </x:c>
      <x:c r="O98" s="500" t="n">
        <x:f>0.5*SQRT(MAX(0,1-(2*N98/$B$9)^2))</x:f>
        <x:v>0</x:v>
      </x:c>
      <x:c r="P98" s="500" t="n">
        <x:f>-O98</x:f>
        <x:v>0</x:v>
      </x:c>
      <x:c r="Q98" s="430"/>
      <x:c r="R98" s="430"/>
      <x:c r="S98" s="430"/>
      <x:c r="T98" s="430"/>
    </x:row>
    <x:row r="99">
      <x:c r="A99" s="430"/>
      <x:c r="B99" s="430"/>
      <x:c r="C99" s="430"/>
      <x:c r="D99" s="430"/>
      <x:c r="E99" s="430"/>
      <x:c r="F99" s="430"/>
      <x:c r="G99" s="430"/>
      <x:c r="H99" s="430"/>
      <x:c r="I99" s="430"/>
      <x:c r="J99" s="430"/>
      <x:c r="K99" s="430"/>
      <x:c r="L99" s="430"/>
      <x:c r="M99" s="430"/>
      <x:c r="N99" s="430"/>
      <x:c r="O99" s="430"/>
      <x:c r="P99" s="430"/>
      <x:c r="Q99" s="430"/>
      <x:c r="R99" s="430"/>
      <x:c r="S99" s="430"/>
      <x:c r="T99" s="430"/>
    </x:row>
    <x:row r="100">
      <x:c r="A100" s="430"/>
      <x:c r="B100" s="430"/>
      <x:c r="C100" s="430"/>
      <x:c r="D100" s="430"/>
      <x:c r="E100" s="430"/>
      <x:c r="F100" s="430"/>
      <x:c r="G100" s="430"/>
      <x:c r="H100" s="430"/>
      <x:c r="I100" s="430"/>
      <x:c r="J100" s="430"/>
      <x:c r="K100" s="430"/>
      <x:c r="L100" s="430"/>
      <x:c r="M100" s="430"/>
      <x:c r="N100" s="430"/>
      <x:c r="O100" s="430"/>
      <x:c r="P100" s="430"/>
      <x:c r="Q100" s="430"/>
      <x:c r="R100" s="430"/>
      <x:c r="S100" s="430"/>
      <x:c r="T100" s="430"/>
    </x:row>
    <x:row r="101">
      <x:c r="A101" s="430"/>
      <x:c r="B101" s="430"/>
      <x:c r="C101" s="430"/>
      <x:c r="D101" s="430"/>
      <x:c r="E101" s="430"/>
      <x:c r="F101" s="430"/>
      <x:c r="G101" s="430"/>
      <x:c r="H101" s="430"/>
      <x:c r="I101" s="430"/>
      <x:c r="J101" s="430"/>
      <x:c r="K101" s="430"/>
      <x:c r="L101" s="430"/>
      <x:c r="M101" s="430"/>
      <x:c r="N101" s="430"/>
      <x:c r="O101" s="430"/>
      <x:c r="P101" s="430"/>
      <x:c r="Q101" s="430"/>
      <x:c r="R101" s="430"/>
      <x:c r="S101" s="430"/>
      <x:c r="T101" s="430"/>
    </x:row>
    <x:row r="102">
      <x:c r="A102" s="430"/>
      <x:c r="B102" s="430"/>
      <x:c r="C102" s="430"/>
      <x:c r="D102" s="430"/>
      <x:c r="E102" s="430"/>
      <x:c r="F102" s="430"/>
      <x:c r="G102" s="430"/>
      <x:c r="H102" s="430"/>
      <x:c r="I102" s="430"/>
      <x:c r="J102" s="430"/>
      <x:c r="K102" s="430"/>
      <x:c r="L102" s="430"/>
      <x:c r="M102" s="430"/>
      <x:c r="N102" s="430"/>
      <x:c r="O102" s="430"/>
      <x:c r="P102" s="430"/>
      <x:c r="Q102" s="430"/>
      <x:c r="R102" s="430"/>
      <x:c r="S102" s="430"/>
      <x:c r="T102" s="430"/>
    </x:row>
    <x:row r="103">
      <x:c r="A103" s="430"/>
      <x:c r="B103" s="430"/>
      <x:c r="C103" s="430"/>
      <x:c r="D103" s="430"/>
      <x:c r="E103" s="430"/>
      <x:c r="F103" s="430"/>
      <x:c r="G103" s="430"/>
      <x:c r="H103" s="430"/>
      <x:c r="I103" s="430"/>
      <x:c r="J103" s="430"/>
      <x:c r="K103" s="430"/>
      <x:c r="L103" s="430"/>
      <x:c r="M103" s="430"/>
      <x:c r="N103" s="430"/>
      <x:c r="O103" s="430"/>
      <x:c r="P103" s="430"/>
      <x:c r="Q103" s="430"/>
      <x:c r="R103" s="430"/>
      <x:c r="S103" s="430"/>
      <x:c r="T103" s="430"/>
    </x:row>
    <x:row r="104">
      <x:c r="A104" s="430"/>
      <x:c r="B104" s="430"/>
      <x:c r="C104" s="430"/>
      <x:c r="D104" s="430"/>
      <x:c r="E104" s="430"/>
      <x:c r="F104" s="430"/>
      <x:c r="G104" s="430"/>
      <x:c r="H104" s="430"/>
      <x:c r="I104" s="430"/>
      <x:c r="J104" s="430"/>
      <x:c r="K104" s="430"/>
      <x:c r="L104" s="430"/>
      <x:c r="M104" s="430"/>
      <x:c r="N104" s="430"/>
      <x:c r="O104" s="430"/>
      <x:c r="P104" s="430"/>
      <x:c r="Q104" s="430"/>
      <x:c r="R104" s="430"/>
      <x:c r="S104" s="430"/>
      <x:c r="T104" s="430"/>
    </x:row>
    <x:row r="105">
      <x:c r="A105" s="430"/>
      <x:c r="B105" s="430"/>
      <x:c r="C105" s="430"/>
      <x:c r="D105" s="430"/>
      <x:c r="E105" s="430"/>
      <x:c r="F105" s="430"/>
      <x:c r="G105" s="430"/>
      <x:c r="H105" s="430"/>
      <x:c r="I105" s="430"/>
      <x:c r="J105" s="430"/>
      <x:c r="K105" s="430"/>
      <x:c r="L105" s="430"/>
      <x:c r="M105" s="430"/>
      <x:c r="N105" s="430"/>
      <x:c r="O105" s="430"/>
      <x:c r="P105" s="430"/>
      <x:c r="Q105" s="430"/>
      <x:c r="R105" s="430"/>
      <x:c r="S105" s="430"/>
      <x:c r="T105" s="430"/>
    </x:row>
    <x:row r="106">
      <x:c r="A106" s="430"/>
      <x:c r="B106" s="430"/>
      <x:c r="C106" s="430"/>
      <x:c r="D106" s="430"/>
      <x:c r="E106" s="430"/>
      <x:c r="F106" s="430"/>
      <x:c r="G106" s="430"/>
      <x:c r="H106" s="430"/>
      <x:c r="I106" s="430"/>
      <x:c r="J106" s="430"/>
      <x:c r="K106" s="430"/>
      <x:c r="L106" s="430"/>
      <x:c r="M106" s="430"/>
      <x:c r="N106" s="430"/>
      <x:c r="O106" s="430"/>
      <x:c r="P106" s="430"/>
      <x:c r="Q106" s="430"/>
      <x:c r="R106" s="430"/>
      <x:c r="S106" s="430"/>
      <x:c r="T106" s="430"/>
    </x:row>
    <x:row r="107">
      <x:c r="A107" s="430"/>
      <x:c r="B107" s="430"/>
      <x:c r="C107" s="430"/>
      <x:c r="D107" s="430"/>
      <x:c r="E107" s="430"/>
      <x:c r="F107" s="430"/>
      <x:c r="G107" s="430"/>
      <x:c r="H107" s="430"/>
      <x:c r="I107" s="430"/>
      <x:c r="J107" s="430"/>
      <x:c r="K107" s="430"/>
      <x:c r="L107" s="430"/>
      <x:c r="M107" s="430"/>
      <x:c r="N107" s="430"/>
      <x:c r="O107" s="430"/>
      <x:c r="P107" s="430"/>
      <x:c r="Q107" s="430"/>
      <x:c r="R107" s="430"/>
      <x:c r="S107" s="430"/>
      <x:c r="T107" s="430"/>
    </x:row>
    <x:row r="108">
      <x:c r="A108" s="430"/>
      <x:c r="B108" s="430"/>
      <x:c r="C108" s="430"/>
      <x:c r="D108" s="430"/>
      <x:c r="E108" s="430"/>
      <x:c r="F108" s="430"/>
      <x:c r="G108" s="430"/>
      <x:c r="H108" s="430"/>
      <x:c r="I108" s="430"/>
      <x:c r="J108" s="430"/>
      <x:c r="K108" s="430"/>
      <x:c r="L108" s="430"/>
      <x:c r="M108" s="430"/>
      <x:c r="N108" s="430"/>
      <x:c r="O108" s="430"/>
      <x:c r="P108" s="430"/>
      <x:c r="Q108" s="430"/>
      <x:c r="R108" s="430"/>
      <x:c r="S108" s="430"/>
      <x:c r="T108" s="430"/>
    </x:row>
    <x:row r="109">
      <x:c r="A109" s="430"/>
      <x:c r="B109" s="430"/>
      <x:c r="C109" s="430"/>
      <x:c r="D109" s="430"/>
      <x:c r="E109" s="430"/>
      <x:c r="F109" s="430"/>
      <x:c r="G109" s="430"/>
      <x:c r="H109" s="430"/>
      <x:c r="I109" s="430"/>
      <x:c r="J109" s="430"/>
      <x:c r="K109" s="430"/>
      <x:c r="L109" s="430"/>
      <x:c r="M109" s="430"/>
      <x:c r="N109" s="430"/>
      <x:c r="O109" s="430"/>
      <x:c r="P109" s="430"/>
      <x:c r="Q109" s="430"/>
      <x:c r="R109" s="430"/>
      <x:c r="S109" s="430"/>
      <x:c r="T109" s="430"/>
    </x:row>
    <x:row r="110">
      <x:c r="A110" s="430"/>
      <x:c r="B110" s="430"/>
      <x:c r="C110" s="430"/>
      <x:c r="D110" s="430"/>
      <x:c r="E110" s="430"/>
      <x:c r="F110" s="430"/>
      <x:c r="G110" s="430"/>
      <x:c r="H110" s="430"/>
      <x:c r="I110" s="430"/>
      <x:c r="J110" s="430"/>
      <x:c r="K110" s="430"/>
      <x:c r="L110" s="430"/>
      <x:c r="M110" s="430"/>
      <x:c r="N110" s="430"/>
      <x:c r="O110" s="430"/>
      <x:c r="P110" s="430"/>
      <x:c r="Q110" s="430"/>
      <x:c r="R110" s="430"/>
      <x:c r="S110" s="430"/>
      <x:c r="T110" s="430"/>
    </x:row>
  </x:sheetData>
  <x:mergeCells>
    <x:mergeCell ref="A1:T1"/>
    <x:mergeCell ref="A3:T3"/>
    <x:mergeCell ref="A5:B5"/>
    <x:mergeCell ref="D5:F5"/>
    <x:mergeCell ref="H5:P5"/>
    <x:mergeCell ref="H6:P12"/>
    <x:mergeCell ref="A15:F15"/>
    <x:mergeCell ref="H15:M15"/>
    <x:mergeCell ref="A27:F27"/>
    <x:mergeCell ref="H27:P27"/>
    <x:mergeCell ref="H28:P34"/>
    <x:mergeCell ref="A36:F36"/>
    <x:mergeCell ref="A43:F43"/>
    <x:mergeCell ref="A56:P56"/>
    <x:mergeCell ref="Q5:T5"/>
  </x:mergeCells>
  <x:pageMargins left="0.7" right="0.7" top="0.75" bottom="0.75" header="0.3" footer="0.3"/>
  <x:drawing xmlns:r="http://schemas.openxmlformats.org/officeDocument/2006/relationships" r:id="Rffbe0bb22d3842b4"/>
</x:worksheet>
</file>